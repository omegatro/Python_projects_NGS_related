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ega\PycharmProjects\PythonLearn101\Test_files\Barcode_reports\"/>
    </mc:Choice>
  </mc:AlternateContent>
  <xr:revisionPtr revIDLastSave="0" documentId="13_ncr:1_{FFE387E1-5700-4510-AE8F-F4AAED184B39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Data" sheetId="1" r:id="rId1"/>
    <sheet name="Test 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8" i="2" l="1"/>
  <c r="H39" i="2" s="1"/>
  <c r="H40" i="2" s="1"/>
  <c r="H41" i="2" s="1"/>
  <c r="H42" i="2" s="1"/>
  <c r="H43" i="2" s="1"/>
  <c r="H44" i="2" s="1"/>
  <c r="G36" i="2" l="1"/>
  <c r="G37" i="2" s="1"/>
  <c r="I36" i="2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H45" i="2"/>
  <c r="H46" i="2" s="1"/>
  <c r="H28" i="2"/>
  <c r="H29" i="2" s="1"/>
  <c r="H30" i="2" s="1"/>
  <c r="H31" i="2" s="1"/>
  <c r="H32" i="2" s="1"/>
  <c r="H33" i="2" s="1"/>
  <c r="H34" i="2" s="1"/>
  <c r="H35" i="2" s="1"/>
  <c r="H22" i="2"/>
  <c r="H23" i="2" s="1"/>
  <c r="H24" i="2" s="1"/>
  <c r="H12" i="2"/>
  <c r="G38" i="2" l="1"/>
  <c r="G28" i="2"/>
  <c r="G29" i="2" s="1"/>
  <c r="G30" i="2" s="1"/>
  <c r="G31" i="2" s="1"/>
  <c r="G32" i="2" s="1"/>
  <c r="G33" i="2" s="1"/>
  <c r="G34" i="2" s="1"/>
  <c r="G35" i="2" s="1"/>
  <c r="I28" i="2"/>
  <c r="I29" i="2"/>
  <c r="I30" i="2" s="1"/>
  <c r="I31" i="2" s="1"/>
  <c r="I32" i="2" s="1"/>
  <c r="I33" i="2" s="1"/>
  <c r="I34" i="2" s="1"/>
  <c r="I35" i="2" s="1"/>
  <c r="H27" i="2"/>
  <c r="I23" i="2"/>
  <c r="I24" i="2" s="1"/>
  <c r="I25" i="2" s="1"/>
  <c r="I26" i="2" s="1"/>
  <c r="I27" i="2" s="1"/>
  <c r="G23" i="2"/>
  <c r="G24" i="2" s="1"/>
  <c r="G25" i="2" s="1"/>
  <c r="G26" i="2" s="1"/>
  <c r="G27" i="2" s="1"/>
  <c r="H15" i="2"/>
  <c r="H16" i="2" s="1"/>
  <c r="G22" i="2"/>
  <c r="I22" i="2"/>
  <c r="G13" i="2"/>
  <c r="G14" i="2" s="1"/>
  <c r="G15" i="2" s="1"/>
  <c r="G16" i="2" s="1"/>
  <c r="G17" i="2" s="1"/>
  <c r="G18" i="2" s="1"/>
  <c r="G19" i="2" s="1"/>
  <c r="G20" i="2" s="1"/>
  <c r="G21" i="2" s="1"/>
  <c r="I13" i="2"/>
  <c r="I14" i="2" s="1"/>
  <c r="I15" i="2" s="1"/>
  <c r="I16" i="2" s="1"/>
  <c r="I17" i="2" s="1"/>
  <c r="I18" i="2" s="1"/>
  <c r="I19" i="2" s="1"/>
  <c r="I20" i="2" s="1"/>
  <c r="I21" i="2" s="1"/>
  <c r="I12" i="2"/>
  <c r="G12" i="2"/>
  <c r="G4" i="2"/>
  <c r="H4" i="2"/>
  <c r="I4" i="2"/>
  <c r="G5" i="2"/>
  <c r="G6" i="2" s="1"/>
  <c r="G7" i="2" s="1"/>
  <c r="G8" i="2" s="1"/>
  <c r="G9" i="2" s="1"/>
  <c r="G10" i="2" s="1"/>
  <c r="G11" i="2" s="1"/>
  <c r="H5" i="2"/>
  <c r="H6" i="2" s="1"/>
  <c r="H7" i="2" s="1"/>
  <c r="H8" i="2" s="1"/>
  <c r="H9" i="2" s="1"/>
  <c r="H10" i="2" s="1"/>
  <c r="H11" i="2" s="1"/>
  <c r="I5" i="2"/>
  <c r="I6" i="2" s="1"/>
  <c r="I7" i="2" s="1"/>
  <c r="I8" i="2" s="1"/>
  <c r="I9" i="2" s="1"/>
  <c r="I10" i="2" s="1"/>
  <c r="I11" i="2" s="1"/>
  <c r="G39" i="2" l="1"/>
  <c r="H17" i="2"/>
  <c r="I3" i="2"/>
  <c r="H3" i="2"/>
  <c r="G3" i="2"/>
  <c r="F3" i="2"/>
  <c r="F4" i="2" s="1"/>
  <c r="G40" i="2" l="1"/>
  <c r="F5" i="2"/>
  <c r="K4" i="2"/>
  <c r="H18" i="2"/>
  <c r="K3" i="2"/>
  <c r="K2" i="2"/>
  <c r="G41" i="2" l="1"/>
  <c r="F6" i="2"/>
  <c r="K5" i="2"/>
  <c r="H19" i="2"/>
  <c r="G42" i="2" l="1"/>
  <c r="F7" i="2"/>
  <c r="K6" i="2"/>
  <c r="H20" i="2"/>
  <c r="G43" i="2" l="1"/>
  <c r="F8" i="2"/>
  <c r="K7" i="2"/>
  <c r="H21" i="2"/>
  <c r="G44" i="2" l="1"/>
  <c r="F9" i="2"/>
  <c r="K8" i="2"/>
  <c r="G45" i="2" l="1"/>
  <c r="F10" i="2"/>
  <c r="K9" i="2"/>
  <c r="G46" i="2" l="1"/>
  <c r="F11" i="2"/>
  <c r="K10" i="2"/>
  <c r="K11" i="2" l="1"/>
  <c r="F12" i="2"/>
  <c r="F13" i="2" l="1"/>
  <c r="K12" i="2"/>
  <c r="F14" i="2" l="1"/>
  <c r="K13" i="2"/>
  <c r="F15" i="2" l="1"/>
  <c r="K14" i="2"/>
  <c r="F16" i="2" l="1"/>
  <c r="K15" i="2"/>
  <c r="F17" i="2" l="1"/>
  <c r="K16" i="2"/>
  <c r="F18" i="2" l="1"/>
  <c r="K17" i="2"/>
  <c r="F19" i="2" l="1"/>
  <c r="K18" i="2"/>
  <c r="F20" i="2" l="1"/>
  <c r="K19" i="2"/>
  <c r="F21" i="2" l="1"/>
  <c r="K20" i="2"/>
  <c r="F22" i="2" l="1"/>
  <c r="K21" i="2"/>
  <c r="F23" i="2" l="1"/>
  <c r="K22" i="2"/>
  <c r="F24" i="2" l="1"/>
  <c r="K23" i="2"/>
  <c r="F25" i="2" l="1"/>
  <c r="K24" i="2"/>
  <c r="F26" i="2" l="1"/>
  <c r="K25" i="2"/>
  <c r="F27" i="2" l="1"/>
  <c r="K26" i="2"/>
  <c r="F28" i="2" l="1"/>
  <c r="K27" i="2"/>
  <c r="K28" i="2" l="1"/>
  <c r="F29" i="2"/>
  <c r="F30" i="2" l="1"/>
  <c r="K29" i="2"/>
  <c r="F31" i="2" l="1"/>
  <c r="K30" i="2"/>
  <c r="F32" i="2" l="1"/>
  <c r="K31" i="2"/>
  <c r="F33" i="2" l="1"/>
  <c r="K32" i="2"/>
  <c r="F34" i="2" l="1"/>
  <c r="K33" i="2"/>
  <c r="F35" i="2" l="1"/>
  <c r="K34" i="2"/>
  <c r="K35" i="2" l="1"/>
  <c r="F36" i="2"/>
  <c r="F37" i="2" l="1"/>
  <c r="K36" i="2"/>
  <c r="F38" i="2" l="1"/>
  <c r="K37" i="2"/>
  <c r="F39" i="2" l="1"/>
  <c r="K38" i="2"/>
  <c r="F40" i="2" l="1"/>
  <c r="K39" i="2"/>
  <c r="F41" i="2" l="1"/>
  <c r="K40" i="2"/>
  <c r="F42" i="2" l="1"/>
  <c r="K41" i="2"/>
  <c r="F43" i="2" l="1"/>
  <c r="K42" i="2"/>
  <c r="F44" i="2" l="1"/>
  <c r="K43" i="2"/>
  <c r="F45" i="2" l="1"/>
  <c r="K44" i="2"/>
  <c r="F46" i="2" l="1"/>
  <c r="K45" i="2"/>
  <c r="K46" i="2" l="1"/>
</calcChain>
</file>

<file path=xl/sharedStrings.xml><?xml version="1.0" encoding="utf-8"?>
<sst xmlns="http://schemas.openxmlformats.org/spreadsheetml/2006/main" count="291" uniqueCount="102">
  <si>
    <t>Flowcell ID</t>
  </si>
  <si>
    <t>Underscore_1</t>
  </si>
  <si>
    <t>Lane Number (L01 to L04)</t>
  </si>
  <si>
    <t>Barcode number</t>
  </si>
  <si>
    <t>Formatted actual barcode</t>
  </si>
  <si>
    <t>_</t>
  </si>
  <si>
    <t>Underscore_2</t>
  </si>
  <si>
    <t>L01</t>
  </si>
  <si>
    <t>Barcode ID</t>
  </si>
  <si>
    <t>Q30(%)</t>
  </si>
  <si>
    <t>TotalReads(M)</t>
  </si>
  <si>
    <t>L02</t>
  </si>
  <si>
    <t>L03</t>
  </si>
  <si>
    <t>L04</t>
  </si>
  <si>
    <t>V300048940_L01_104</t>
  </si>
  <si>
    <t>V300048940_L01_13</t>
  </si>
  <si>
    <t>V300048940_L01_14</t>
  </si>
  <si>
    <t>V300048940_L01_16</t>
  </si>
  <si>
    <t>V300048940_L01_57</t>
  </si>
  <si>
    <t>V300048940_L01_62</t>
  </si>
  <si>
    <t>V300048940_L01_88</t>
  </si>
  <si>
    <t>V300048940_L01_89</t>
  </si>
  <si>
    <t>V300048940_L01_90</t>
  </si>
  <si>
    <t>V300048940_L01_91</t>
  </si>
  <si>
    <t>V300048940_L01_92</t>
  </si>
  <si>
    <t>V300048940_L01_93</t>
  </si>
  <si>
    <t>V300048940_L01_94</t>
  </si>
  <si>
    <t>V300048940_L01_95</t>
  </si>
  <si>
    <t>V300048940_L01_96</t>
  </si>
  <si>
    <t>V300048940_L01_97</t>
  </si>
  <si>
    <t>V300048940_L01_98</t>
  </si>
  <si>
    <t>V300048940_L01_99</t>
  </si>
  <si>
    <t>V300048940_L02_100</t>
  </si>
  <si>
    <t>V300048940_L02_101</t>
  </si>
  <si>
    <t>V300048940_L02_102</t>
  </si>
  <si>
    <t>V300048940_L02_103</t>
  </si>
  <si>
    <t>V300048940_L02_104</t>
  </si>
  <si>
    <t>V300048940_L02_117</t>
  </si>
  <si>
    <t>V300048940_L02_12</t>
  </si>
  <si>
    <t>V300048940_L02_121</t>
  </si>
  <si>
    <t>V300048940_L02_122</t>
  </si>
  <si>
    <t>V300048940_L02_123</t>
  </si>
  <si>
    <t>V300048940_L02_124</t>
  </si>
  <si>
    <t>V300048940_L02_125</t>
  </si>
  <si>
    <t>V300048940_L02_126</t>
  </si>
  <si>
    <t>V300048940_L02_127</t>
  </si>
  <si>
    <t>V300048940_L02_128</t>
  </si>
  <si>
    <t>V300048940_L02_2</t>
  </si>
  <si>
    <t>V300048940_L02_38</t>
  </si>
  <si>
    <t>V300048940_L02_58</t>
  </si>
  <si>
    <t>V300048940_L02_63</t>
  </si>
  <si>
    <t>V300048940_L02_8</t>
  </si>
  <si>
    <t>V300048940_L02_99</t>
  </si>
  <si>
    <t>V300048940_L03_10</t>
  </si>
  <si>
    <t>V300048940_L03_100</t>
  </si>
  <si>
    <t>V300048940_L03_106</t>
  </si>
  <si>
    <t>V300048940_L03_114</t>
  </si>
  <si>
    <t>V300048940_L03_115</t>
  </si>
  <si>
    <t>V300048940_L03_116</t>
  </si>
  <si>
    <t>V300048940_L03_117</t>
  </si>
  <si>
    <t>V300048940_L03_20</t>
  </si>
  <si>
    <t>V300048940_L03_25</t>
  </si>
  <si>
    <t>V300048940_L03_26</t>
  </si>
  <si>
    <t>V300048940_L03_29</t>
  </si>
  <si>
    <t>V300048940_L03_30</t>
  </si>
  <si>
    <t>V300048940_L03_32</t>
  </si>
  <si>
    <t>V300048940_L03_36</t>
  </si>
  <si>
    <t>V300048940_L03_37</t>
  </si>
  <si>
    <t>V300048940_L03_39</t>
  </si>
  <si>
    <t>V300048940_L03_50</t>
  </si>
  <si>
    <t>V300048940_L03_51</t>
  </si>
  <si>
    <t>V300048940_L03_55</t>
  </si>
  <si>
    <t>V300048940_L03_56</t>
  </si>
  <si>
    <t>V300048940_L03_64</t>
  </si>
  <si>
    <t>V300048940_L03_96</t>
  </si>
  <si>
    <t>V300048940_L04_10</t>
  </si>
  <si>
    <t>V300048940_L04_128</t>
  </si>
  <si>
    <t>V300048940_L04_26</t>
  </si>
  <si>
    <t>V300048940_L04_28</t>
  </si>
  <si>
    <t>V300048940_L04_29</t>
  </si>
  <si>
    <t>V300048940_L04_30</t>
  </si>
  <si>
    <t>V300048940_L04_32</t>
  </si>
  <si>
    <t>V300048940_L04_33</t>
  </si>
  <si>
    <t>V300048940_L04_34</t>
  </si>
  <si>
    <t>V300048940_L04_35</t>
  </si>
  <si>
    <t>V300048940_L04_36</t>
  </si>
  <si>
    <t>V300048940_L04_37</t>
  </si>
  <si>
    <t>V300048940_L04_38</t>
  </si>
  <si>
    <t>V300048940_L04_47</t>
  </si>
  <si>
    <t>V300048940_L04_48</t>
  </si>
  <si>
    <t>V300048940_L04_49</t>
  </si>
  <si>
    <t>V300048940_L04_50</t>
  </si>
  <si>
    <t>V300048940_L04_52</t>
  </si>
  <si>
    <t>V300048940_L04_53</t>
  </si>
  <si>
    <t>V300048940_L04_55</t>
  </si>
  <si>
    <t>V300048940_L04_58</t>
  </si>
  <si>
    <t>V300048940</t>
  </si>
  <si>
    <t>Pool 8_5</t>
  </si>
  <si>
    <t>Pool 8_6</t>
  </si>
  <si>
    <t>Pool 8_7</t>
  </si>
  <si>
    <t>Pool 8_8</t>
  </si>
  <si>
    <t>Inuit_Greenland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</si>
</sst>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D966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2" xfId="0" applyFill="1" applyBorder="1"/>
    <xf numFmtId="0" fontId="3" fillId="0" borderId="5" xfId="0" applyFont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6" borderId="6" xfId="0" applyFont="1" applyFill="1" applyBorder="1"/>
    <xf numFmtId="0" fontId="3" fillId="5" borderId="6" xfId="0" applyFont="1" applyFill="1" applyBorder="1"/>
    <xf numFmtId="0" fontId="3" fillId="0" borderId="6" xfId="0" applyFont="1" applyBorder="1"/>
    <xf numFmtId="0" fontId="3" fillId="0" borderId="8" xfId="0" applyFont="1" applyBorder="1"/>
    <xf numFmtId="0" fontId="3" fillId="7" borderId="6" xfId="0" applyFont="1" applyFill="1" applyBorder="1"/>
    <xf numFmtId="0" fontId="3" fillId="8" borderId="6" xfId="0" applyFont="1" applyFill="1" applyBorder="1"/>
    <xf numFmtId="0" fontId="3" fillId="9" borderId="6" xfId="0" applyFont="1" applyFill="1" applyBorder="1"/>
    <xf numFmtId="0" fontId="3" fillId="10" borderId="6" xfId="0" applyFont="1" applyFill="1" applyBorder="1"/>
    <xf numFmtId="0" fontId="3" fillId="11" borderId="6" xfId="0" applyFont="1" applyFill="1" applyBorder="1"/>
    <xf numFmtId="0" fontId="3" fillId="12" borderId="6" xfId="0" applyFont="1" applyFill="1" applyBorder="1"/>
    <xf numFmtId="0" fontId="3" fillId="6" borderId="9" xfId="0" applyFont="1" applyFill="1" applyBorder="1"/>
    <xf numFmtId="0" fontId="3" fillId="5" borderId="7" xfId="0" applyFont="1" applyFill="1" applyBorder="1"/>
    <xf numFmtId="0" fontId="3" fillId="5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13</xdr:row>
          <xdr:rowOff>95250</xdr:rowOff>
        </xdr:from>
        <xdr:to>
          <xdr:col>9</xdr:col>
          <xdr:colOff>387350</xdr:colOff>
          <xdr:row>18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data from unused barcodes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8"/>
  <sheetViews>
    <sheetView tabSelected="1" topLeftCell="E27" workbookViewId="0">
      <selection activeCell="I2" sqref="I2:M46"/>
    </sheetView>
  </sheetViews>
  <sheetFormatPr defaultRowHeight="14.5" x14ac:dyDescent="0.35"/>
  <cols>
    <col min="1" max="1" width="18.90625" bestFit="1" customWidth="1"/>
    <col min="2" max="2" width="13.08984375" bestFit="1" customWidth="1"/>
    <col min="3" max="3" width="22.54296875" bestFit="1" customWidth="1"/>
    <col min="4" max="4" width="29.6328125" bestFit="1" customWidth="1"/>
    <col min="5" max="5" width="18.90625" bestFit="1" customWidth="1"/>
    <col min="6" max="6" width="12.453125" bestFit="1" customWidth="1"/>
    <col min="7" max="7" width="22.26953125" bestFit="1" customWidth="1"/>
    <col min="8" max="8" width="12.453125" bestFit="1" customWidth="1"/>
    <col min="9" max="9" width="14.81640625" bestFit="1" customWidth="1"/>
    <col min="10" max="10" width="22.54296875" bestFit="1" customWidth="1"/>
    <col min="11" max="11" width="14.81640625" bestFit="1" customWidth="1"/>
    <col min="12" max="13" width="22.54296875" bestFit="1" customWidth="1"/>
  </cols>
  <sheetData>
    <row r="1" spans="1:13" x14ac:dyDescent="0.35">
      <c r="A1" t="s">
        <v>8</v>
      </c>
      <c r="B1" t="s">
        <v>9</v>
      </c>
      <c r="C1" t="s">
        <v>10</v>
      </c>
      <c r="D1" s="2" t="s">
        <v>4</v>
      </c>
      <c r="K1" s="2" t="s">
        <v>3</v>
      </c>
    </row>
    <row r="2" spans="1:13" x14ac:dyDescent="0.35">
      <c r="D2" t="s">
        <v>21</v>
      </c>
      <c r="E2" t="s">
        <v>21</v>
      </c>
      <c r="F2">
        <v>87.38</v>
      </c>
      <c r="G2">
        <v>43.68</v>
      </c>
      <c r="H2" s="1"/>
      <c r="I2" s="19" t="s">
        <v>101</v>
      </c>
      <c r="J2" s="19">
        <v>605</v>
      </c>
      <c r="K2" s="19">
        <v>89</v>
      </c>
      <c r="L2">
        <v>43.68</v>
      </c>
      <c r="M2">
        <v>87.38</v>
      </c>
    </row>
    <row r="3" spans="1:13" x14ac:dyDescent="0.35">
      <c r="D3" t="s">
        <v>22</v>
      </c>
      <c r="E3" t="s">
        <v>22</v>
      </c>
      <c r="F3">
        <v>87.75</v>
      </c>
      <c r="G3">
        <v>42.1</v>
      </c>
      <c r="H3" s="1"/>
      <c r="I3" s="19" t="s">
        <v>101</v>
      </c>
      <c r="J3" s="19">
        <v>606</v>
      </c>
      <c r="K3" s="19">
        <v>90</v>
      </c>
      <c r="L3">
        <v>42.1</v>
      </c>
      <c r="M3">
        <v>87.75</v>
      </c>
    </row>
    <row r="4" spans="1:13" x14ac:dyDescent="0.35">
      <c r="D4" t="s">
        <v>23</v>
      </c>
      <c r="E4" t="s">
        <v>23</v>
      </c>
      <c r="F4">
        <v>87.83</v>
      </c>
      <c r="G4">
        <v>46.48</v>
      </c>
      <c r="H4" s="1"/>
      <c r="I4" s="19" t="s">
        <v>101</v>
      </c>
      <c r="J4" s="19">
        <v>607</v>
      </c>
      <c r="K4" s="19">
        <v>91</v>
      </c>
      <c r="L4">
        <v>46.48</v>
      </c>
      <c r="M4">
        <v>87.83</v>
      </c>
    </row>
    <row r="5" spans="1:13" x14ac:dyDescent="0.35">
      <c r="D5" t="s">
        <v>24</v>
      </c>
      <c r="E5" t="s">
        <v>24</v>
      </c>
      <c r="F5">
        <v>87.7</v>
      </c>
      <c r="G5">
        <v>37.21</v>
      </c>
      <c r="H5" s="1"/>
      <c r="I5" s="19" t="s">
        <v>101</v>
      </c>
      <c r="J5" s="19">
        <v>608</v>
      </c>
      <c r="K5" s="19">
        <v>92</v>
      </c>
      <c r="L5">
        <v>37.21</v>
      </c>
      <c r="M5">
        <v>87.7</v>
      </c>
    </row>
    <row r="6" spans="1:13" x14ac:dyDescent="0.35">
      <c r="D6" t="s">
        <v>25</v>
      </c>
      <c r="E6" t="s">
        <v>25</v>
      </c>
      <c r="F6">
        <v>87.66</v>
      </c>
      <c r="G6">
        <v>44.02</v>
      </c>
      <c r="H6" s="1"/>
      <c r="I6" s="19" t="s">
        <v>101</v>
      </c>
      <c r="J6" s="19">
        <v>609</v>
      </c>
      <c r="K6" s="19">
        <v>93</v>
      </c>
      <c r="L6">
        <v>44.02</v>
      </c>
      <c r="M6">
        <v>87.66</v>
      </c>
    </row>
    <row r="7" spans="1:13" x14ac:dyDescent="0.35">
      <c r="D7" t="s">
        <v>26</v>
      </c>
      <c r="E7" t="s">
        <v>26</v>
      </c>
      <c r="F7">
        <v>88.63</v>
      </c>
      <c r="G7">
        <v>42</v>
      </c>
      <c r="H7" s="1"/>
      <c r="I7" s="19" t="s">
        <v>101</v>
      </c>
      <c r="J7" s="19">
        <v>610</v>
      </c>
      <c r="K7" s="19">
        <v>94</v>
      </c>
      <c r="L7">
        <v>42</v>
      </c>
      <c r="M7">
        <v>88.63</v>
      </c>
    </row>
    <row r="8" spans="1:13" x14ac:dyDescent="0.35">
      <c r="D8" t="s">
        <v>27</v>
      </c>
      <c r="E8" t="s">
        <v>27</v>
      </c>
      <c r="F8">
        <v>86.9</v>
      </c>
      <c r="G8">
        <v>40.11</v>
      </c>
      <c r="H8" s="1"/>
      <c r="I8" s="19" t="s">
        <v>101</v>
      </c>
      <c r="J8" s="19">
        <v>611</v>
      </c>
      <c r="K8" s="19">
        <v>95</v>
      </c>
      <c r="L8">
        <v>40.11</v>
      </c>
      <c r="M8">
        <v>86.9</v>
      </c>
    </row>
    <row r="9" spans="1:13" x14ac:dyDescent="0.35">
      <c r="D9" t="s">
        <v>28</v>
      </c>
      <c r="E9" t="s">
        <v>28</v>
      </c>
      <c r="F9">
        <v>86.08</v>
      </c>
      <c r="G9">
        <v>48.38</v>
      </c>
      <c r="H9" s="1"/>
      <c r="I9" s="19" t="s">
        <v>101</v>
      </c>
      <c r="J9" s="19">
        <v>612</v>
      </c>
      <c r="K9" s="19">
        <v>96</v>
      </c>
      <c r="L9">
        <v>48.38</v>
      </c>
      <c r="M9">
        <v>86.08</v>
      </c>
    </row>
    <row r="10" spans="1:13" x14ac:dyDescent="0.35">
      <c r="D10" t="s">
        <v>29</v>
      </c>
      <c r="E10" t="s">
        <v>29</v>
      </c>
      <c r="F10">
        <v>88.53</v>
      </c>
      <c r="G10">
        <v>48.24</v>
      </c>
      <c r="H10" s="1"/>
      <c r="I10" s="19" t="s">
        <v>101</v>
      </c>
      <c r="J10" s="19">
        <v>613</v>
      </c>
      <c r="K10" s="19">
        <v>97</v>
      </c>
      <c r="L10">
        <v>48.24</v>
      </c>
      <c r="M10">
        <v>88.53</v>
      </c>
    </row>
    <row r="11" spans="1:13" x14ac:dyDescent="0.35">
      <c r="D11" t="s">
        <v>30</v>
      </c>
      <c r="E11" t="s">
        <v>30</v>
      </c>
      <c r="F11">
        <v>87.42</v>
      </c>
      <c r="G11">
        <v>41.63</v>
      </c>
      <c r="H11" s="1"/>
      <c r="I11" s="19" t="s">
        <v>101</v>
      </c>
      <c r="J11" s="19">
        <v>614</v>
      </c>
      <c r="K11" s="19">
        <v>98</v>
      </c>
      <c r="L11">
        <v>41.63</v>
      </c>
      <c r="M11">
        <v>87.42</v>
      </c>
    </row>
    <row r="12" spans="1:13" x14ac:dyDescent="0.35">
      <c r="D12" t="s">
        <v>31</v>
      </c>
      <c r="E12" t="s">
        <v>31</v>
      </c>
      <c r="F12">
        <v>87.47</v>
      </c>
      <c r="G12">
        <v>42.98</v>
      </c>
      <c r="H12" s="1"/>
      <c r="I12" s="19" t="s">
        <v>101</v>
      </c>
      <c r="J12" s="19">
        <v>615</v>
      </c>
      <c r="K12" s="19">
        <v>99</v>
      </c>
      <c r="L12">
        <v>42.98</v>
      </c>
      <c r="M12">
        <v>87.47</v>
      </c>
    </row>
    <row r="13" spans="1:13" x14ac:dyDescent="0.35">
      <c r="D13" t="s">
        <v>32</v>
      </c>
      <c r="E13" t="s">
        <v>32</v>
      </c>
      <c r="F13">
        <v>87.44</v>
      </c>
      <c r="G13">
        <v>33.729999999999997</v>
      </c>
      <c r="H13" s="1"/>
      <c r="I13" s="11" t="s">
        <v>101</v>
      </c>
      <c r="J13" s="11">
        <v>616</v>
      </c>
      <c r="K13" s="11">
        <v>100</v>
      </c>
      <c r="L13">
        <v>33.729999999999997</v>
      </c>
      <c r="M13">
        <v>87.44</v>
      </c>
    </row>
    <row r="14" spans="1:13" x14ac:dyDescent="0.35">
      <c r="D14" t="s">
        <v>33</v>
      </c>
      <c r="E14" t="s">
        <v>33</v>
      </c>
      <c r="F14">
        <v>87.35</v>
      </c>
      <c r="G14">
        <v>34.71</v>
      </c>
      <c r="H14" s="1"/>
      <c r="I14" s="11" t="s">
        <v>101</v>
      </c>
      <c r="J14" s="11">
        <v>617</v>
      </c>
      <c r="K14" s="11">
        <v>101</v>
      </c>
      <c r="L14">
        <v>34.71</v>
      </c>
      <c r="M14">
        <v>87.35</v>
      </c>
    </row>
    <row r="15" spans="1:13" x14ac:dyDescent="0.35">
      <c r="D15" t="s">
        <v>34</v>
      </c>
      <c r="E15" t="s">
        <v>34</v>
      </c>
      <c r="F15">
        <v>86.09</v>
      </c>
      <c r="G15">
        <v>38.979999999999997</v>
      </c>
      <c r="H15" s="1"/>
      <c r="I15" s="11" t="s">
        <v>101</v>
      </c>
      <c r="J15" s="11">
        <v>618</v>
      </c>
      <c r="K15" s="11">
        <v>102</v>
      </c>
      <c r="L15">
        <v>38.979999999999997</v>
      </c>
      <c r="M15">
        <v>86.09</v>
      </c>
    </row>
    <row r="16" spans="1:13" x14ac:dyDescent="0.35">
      <c r="D16" t="s">
        <v>36</v>
      </c>
      <c r="E16" t="s">
        <v>36</v>
      </c>
      <c r="F16">
        <v>88.55</v>
      </c>
      <c r="G16">
        <v>45.14</v>
      </c>
      <c r="H16" s="1"/>
      <c r="I16" s="11" t="s">
        <v>101</v>
      </c>
      <c r="J16" s="11">
        <v>619</v>
      </c>
      <c r="K16" s="11">
        <v>104</v>
      </c>
      <c r="L16">
        <v>45.14</v>
      </c>
      <c r="M16">
        <v>88.55</v>
      </c>
    </row>
    <row r="17" spans="4:13" x14ac:dyDescent="0.35">
      <c r="D17" t="s">
        <v>39</v>
      </c>
      <c r="E17" t="s">
        <v>39</v>
      </c>
      <c r="F17">
        <v>87.26</v>
      </c>
      <c r="G17">
        <v>40.58</v>
      </c>
      <c r="H17" s="1"/>
      <c r="I17" s="11" t="s">
        <v>101</v>
      </c>
      <c r="J17" s="11">
        <v>620</v>
      </c>
      <c r="K17" s="11">
        <v>121</v>
      </c>
      <c r="L17">
        <v>40.58</v>
      </c>
      <c r="M17">
        <v>87.26</v>
      </c>
    </row>
    <row r="18" spans="4:13" x14ac:dyDescent="0.35">
      <c r="D18" t="s">
        <v>40</v>
      </c>
      <c r="E18" t="s">
        <v>40</v>
      </c>
      <c r="F18">
        <v>86.8</v>
      </c>
      <c r="G18">
        <v>37.89</v>
      </c>
      <c r="H18" s="1"/>
      <c r="I18" s="11" t="s">
        <v>101</v>
      </c>
      <c r="J18" s="11">
        <v>621</v>
      </c>
      <c r="K18" s="11">
        <v>122</v>
      </c>
      <c r="L18">
        <v>37.89</v>
      </c>
      <c r="M18">
        <v>86.8</v>
      </c>
    </row>
    <row r="19" spans="4:13" x14ac:dyDescent="0.35">
      <c r="D19" t="s">
        <v>41</v>
      </c>
      <c r="E19" t="s">
        <v>41</v>
      </c>
      <c r="F19">
        <v>87.26</v>
      </c>
      <c r="G19">
        <v>40.93</v>
      </c>
      <c r="H19" s="1"/>
      <c r="I19" s="11" t="s">
        <v>101</v>
      </c>
      <c r="J19" s="11">
        <v>622</v>
      </c>
      <c r="K19" s="11">
        <v>123</v>
      </c>
      <c r="L19">
        <v>40.93</v>
      </c>
      <c r="M19">
        <v>87.26</v>
      </c>
    </row>
    <row r="20" spans="4:13" x14ac:dyDescent="0.35">
      <c r="D20" t="s">
        <v>42</v>
      </c>
      <c r="E20" t="s">
        <v>42</v>
      </c>
      <c r="F20">
        <v>88.07</v>
      </c>
      <c r="G20">
        <v>36.380000000000003</v>
      </c>
      <c r="H20" s="1"/>
      <c r="I20" s="11" t="s">
        <v>101</v>
      </c>
      <c r="J20" s="11">
        <v>623</v>
      </c>
      <c r="K20" s="11">
        <v>124</v>
      </c>
      <c r="L20">
        <v>36.380000000000003</v>
      </c>
      <c r="M20">
        <v>88.07</v>
      </c>
    </row>
    <row r="21" spans="4:13" x14ac:dyDescent="0.35">
      <c r="D21" t="s">
        <v>43</v>
      </c>
      <c r="E21" t="s">
        <v>43</v>
      </c>
      <c r="F21">
        <v>87.58</v>
      </c>
      <c r="G21">
        <v>34.83</v>
      </c>
      <c r="H21" s="1"/>
      <c r="I21" s="11" t="s">
        <v>101</v>
      </c>
      <c r="J21" s="11">
        <v>624</v>
      </c>
      <c r="K21" s="11">
        <v>125</v>
      </c>
      <c r="L21">
        <v>34.83</v>
      </c>
      <c r="M21">
        <v>87.58</v>
      </c>
    </row>
    <row r="22" spans="4:13" x14ac:dyDescent="0.35">
      <c r="D22" t="s">
        <v>44</v>
      </c>
      <c r="E22" t="s">
        <v>44</v>
      </c>
      <c r="F22">
        <v>88.58</v>
      </c>
      <c r="G22">
        <v>40.58</v>
      </c>
      <c r="H22" s="1"/>
      <c r="I22" s="11" t="s">
        <v>101</v>
      </c>
      <c r="J22" s="11">
        <v>625</v>
      </c>
      <c r="K22" s="11">
        <v>126</v>
      </c>
      <c r="L22">
        <v>40.58</v>
      </c>
      <c r="M22">
        <v>88.58</v>
      </c>
    </row>
    <row r="23" spans="4:13" x14ac:dyDescent="0.35">
      <c r="D23" t="s">
        <v>45</v>
      </c>
      <c r="E23" t="s">
        <v>45</v>
      </c>
      <c r="F23">
        <v>88.42</v>
      </c>
      <c r="G23">
        <v>41.79</v>
      </c>
      <c r="H23" s="1"/>
      <c r="I23" s="11" t="s">
        <v>101</v>
      </c>
      <c r="J23" s="11">
        <v>626</v>
      </c>
      <c r="K23" s="11">
        <v>127</v>
      </c>
      <c r="L23">
        <v>41.79</v>
      </c>
      <c r="M23">
        <v>88.42</v>
      </c>
    </row>
    <row r="24" spans="4:13" x14ac:dyDescent="0.35">
      <c r="D24" t="s">
        <v>46</v>
      </c>
      <c r="E24" t="s">
        <v>46</v>
      </c>
      <c r="F24">
        <v>86.54</v>
      </c>
      <c r="G24">
        <v>40.22</v>
      </c>
      <c r="H24" s="1"/>
      <c r="I24" s="11" t="s">
        <v>101</v>
      </c>
      <c r="J24" s="11">
        <v>627</v>
      </c>
      <c r="K24" s="11">
        <v>128</v>
      </c>
      <c r="L24">
        <v>40.22</v>
      </c>
      <c r="M24">
        <v>86.54</v>
      </c>
    </row>
    <row r="25" spans="4:13" x14ac:dyDescent="0.35">
      <c r="D25" t="s">
        <v>61</v>
      </c>
      <c r="E25" t="s">
        <v>61</v>
      </c>
      <c r="F25">
        <v>87.28</v>
      </c>
      <c r="G25">
        <v>43.23</v>
      </c>
      <c r="H25" s="1"/>
      <c r="I25" s="20" t="s">
        <v>101</v>
      </c>
      <c r="J25" s="20">
        <v>628</v>
      </c>
      <c r="K25" s="20">
        <v>25</v>
      </c>
      <c r="L25">
        <v>43.23</v>
      </c>
      <c r="M25">
        <v>87.28</v>
      </c>
    </row>
    <row r="26" spans="4:13" x14ac:dyDescent="0.35">
      <c r="D26" t="s">
        <v>62</v>
      </c>
      <c r="E26" t="s">
        <v>62</v>
      </c>
      <c r="F26">
        <v>87.85</v>
      </c>
      <c r="G26">
        <v>41.22</v>
      </c>
      <c r="H26" s="1"/>
      <c r="I26" s="20" t="s">
        <v>101</v>
      </c>
      <c r="J26" s="20">
        <v>629</v>
      </c>
      <c r="K26" s="20">
        <v>26</v>
      </c>
      <c r="L26">
        <v>41.22</v>
      </c>
      <c r="M26">
        <v>87.85</v>
      </c>
    </row>
    <row r="27" spans="4:13" x14ac:dyDescent="0.35">
      <c r="D27" t="s">
        <v>59</v>
      </c>
      <c r="E27" t="s">
        <v>59</v>
      </c>
      <c r="F27">
        <v>87.67</v>
      </c>
      <c r="G27">
        <v>42.5</v>
      </c>
      <c r="H27" s="1"/>
      <c r="I27" s="20" t="s">
        <v>101</v>
      </c>
      <c r="J27" s="20">
        <v>630</v>
      </c>
      <c r="K27" s="20">
        <v>117</v>
      </c>
      <c r="L27">
        <v>42.5</v>
      </c>
      <c r="M27">
        <v>87.67</v>
      </c>
    </row>
    <row r="28" spans="4:13" x14ac:dyDescent="0.35">
      <c r="D28" t="s">
        <v>64</v>
      </c>
      <c r="E28" t="s">
        <v>64</v>
      </c>
      <c r="F28">
        <v>87.19</v>
      </c>
      <c r="G28">
        <v>41.23</v>
      </c>
      <c r="H28" s="1"/>
      <c r="I28" s="20" t="s">
        <v>101</v>
      </c>
      <c r="J28" s="20">
        <v>633</v>
      </c>
      <c r="K28" s="20">
        <v>30</v>
      </c>
      <c r="L28">
        <v>41.23</v>
      </c>
      <c r="M28">
        <v>87.19</v>
      </c>
    </row>
    <row r="29" spans="4:13" x14ac:dyDescent="0.35">
      <c r="D29" t="s">
        <v>56</v>
      </c>
      <c r="E29" t="s">
        <v>56</v>
      </c>
      <c r="F29">
        <v>87.87</v>
      </c>
      <c r="G29">
        <v>45.2</v>
      </c>
      <c r="H29" s="1"/>
      <c r="I29" s="20" t="s">
        <v>101</v>
      </c>
      <c r="J29" s="20">
        <v>634</v>
      </c>
      <c r="K29" s="20">
        <v>114</v>
      </c>
      <c r="L29">
        <v>45.2</v>
      </c>
      <c r="M29">
        <v>87.87</v>
      </c>
    </row>
    <row r="30" spans="4:13" x14ac:dyDescent="0.35">
      <c r="D30" t="s">
        <v>65</v>
      </c>
      <c r="E30" t="s">
        <v>65</v>
      </c>
      <c r="F30">
        <v>87.47</v>
      </c>
      <c r="G30">
        <v>35.92</v>
      </c>
      <c r="H30" s="1"/>
      <c r="I30" s="20" t="s">
        <v>101</v>
      </c>
      <c r="J30" s="20">
        <v>635</v>
      </c>
      <c r="K30" s="20">
        <v>32</v>
      </c>
      <c r="L30">
        <v>35.92</v>
      </c>
      <c r="M30">
        <v>87.47</v>
      </c>
    </row>
    <row r="31" spans="4:13" x14ac:dyDescent="0.35">
      <c r="D31" t="s">
        <v>67</v>
      </c>
      <c r="E31" t="s">
        <v>67</v>
      </c>
      <c r="F31">
        <v>88.06</v>
      </c>
      <c r="G31">
        <v>39.03</v>
      </c>
      <c r="H31" s="1"/>
      <c r="I31" s="20" t="s">
        <v>101</v>
      </c>
      <c r="J31" s="20">
        <v>640</v>
      </c>
      <c r="K31" s="20">
        <v>37</v>
      </c>
      <c r="L31">
        <v>39.03</v>
      </c>
      <c r="M31">
        <v>88.06</v>
      </c>
    </row>
    <row r="32" spans="4:13" x14ac:dyDescent="0.35">
      <c r="D32" t="s">
        <v>68</v>
      </c>
      <c r="E32" t="s">
        <v>68</v>
      </c>
      <c r="F32">
        <v>88.59</v>
      </c>
      <c r="G32">
        <v>50.64</v>
      </c>
      <c r="H32" s="1"/>
      <c r="I32" s="20" t="s">
        <v>101</v>
      </c>
      <c r="J32" s="20">
        <v>642</v>
      </c>
      <c r="K32" s="20">
        <v>39</v>
      </c>
      <c r="L32">
        <v>50.64</v>
      </c>
      <c r="M32">
        <v>88.59</v>
      </c>
    </row>
    <row r="33" spans="4:13" x14ac:dyDescent="0.35">
      <c r="D33" t="s">
        <v>70</v>
      </c>
      <c r="E33" t="s">
        <v>70</v>
      </c>
      <c r="F33">
        <v>88.71</v>
      </c>
      <c r="G33">
        <v>44.31</v>
      </c>
      <c r="H33" s="1"/>
      <c r="I33" s="20" t="s">
        <v>101</v>
      </c>
      <c r="J33" s="20">
        <v>646</v>
      </c>
      <c r="K33" s="20">
        <v>51</v>
      </c>
      <c r="L33">
        <v>44.31</v>
      </c>
      <c r="M33">
        <v>88.71</v>
      </c>
    </row>
    <row r="34" spans="4:13" x14ac:dyDescent="0.35">
      <c r="D34" t="s">
        <v>58</v>
      </c>
      <c r="E34" t="s">
        <v>58</v>
      </c>
      <c r="F34">
        <v>87.95</v>
      </c>
      <c r="G34">
        <v>42.81</v>
      </c>
      <c r="H34" s="1"/>
      <c r="I34" s="20" t="s">
        <v>101</v>
      </c>
      <c r="J34" s="20">
        <v>649</v>
      </c>
      <c r="K34" s="20">
        <v>116</v>
      </c>
      <c r="L34">
        <v>42.81</v>
      </c>
      <c r="M34">
        <v>87.95</v>
      </c>
    </row>
    <row r="35" spans="4:13" x14ac:dyDescent="0.35">
      <c r="D35" t="s">
        <v>72</v>
      </c>
      <c r="E35" t="s">
        <v>72</v>
      </c>
      <c r="F35">
        <v>87.75</v>
      </c>
      <c r="G35">
        <v>41.86</v>
      </c>
      <c r="H35" s="1"/>
      <c r="I35" s="20" t="s">
        <v>101</v>
      </c>
      <c r="J35" s="20">
        <v>651</v>
      </c>
      <c r="K35" s="20">
        <v>56</v>
      </c>
      <c r="L35">
        <v>41.86</v>
      </c>
      <c r="M35">
        <v>87.75</v>
      </c>
    </row>
    <row r="36" spans="4:13" x14ac:dyDescent="0.35">
      <c r="D36" t="s">
        <v>78</v>
      </c>
      <c r="E36" t="s">
        <v>78</v>
      </c>
      <c r="F36">
        <v>88.77</v>
      </c>
      <c r="G36">
        <v>42.31</v>
      </c>
      <c r="H36" s="4"/>
      <c r="I36" s="12" t="s">
        <v>101</v>
      </c>
      <c r="J36" s="12">
        <v>631</v>
      </c>
      <c r="K36" s="12">
        <v>28</v>
      </c>
      <c r="L36">
        <v>42.31</v>
      </c>
      <c r="M36">
        <v>88.77</v>
      </c>
    </row>
    <row r="37" spans="4:13" x14ac:dyDescent="0.35">
      <c r="D37" t="s">
        <v>79</v>
      </c>
      <c r="E37" t="s">
        <v>79</v>
      </c>
      <c r="F37">
        <v>88.81</v>
      </c>
      <c r="G37">
        <v>44.3</v>
      </c>
      <c r="H37" s="4"/>
      <c r="I37" s="12" t="s">
        <v>101</v>
      </c>
      <c r="J37" s="12">
        <v>632</v>
      </c>
      <c r="K37" s="12">
        <v>29</v>
      </c>
      <c r="L37">
        <v>44.3</v>
      </c>
      <c r="M37">
        <v>88.81</v>
      </c>
    </row>
    <row r="38" spans="4:13" x14ac:dyDescent="0.35">
      <c r="D38" t="s">
        <v>82</v>
      </c>
      <c r="E38" t="s">
        <v>82</v>
      </c>
      <c r="F38">
        <v>86.82</v>
      </c>
      <c r="G38">
        <v>43.86</v>
      </c>
      <c r="H38" s="4"/>
      <c r="I38" s="12" t="s">
        <v>101</v>
      </c>
      <c r="J38" s="12">
        <v>636</v>
      </c>
      <c r="K38" s="12">
        <v>33</v>
      </c>
      <c r="L38">
        <v>43.86</v>
      </c>
      <c r="M38">
        <v>86.82</v>
      </c>
    </row>
    <row r="39" spans="4:13" x14ac:dyDescent="0.35">
      <c r="D39" t="s">
        <v>83</v>
      </c>
      <c r="E39" t="s">
        <v>83</v>
      </c>
      <c r="F39">
        <v>88.06</v>
      </c>
      <c r="G39">
        <v>39.28</v>
      </c>
      <c r="H39" s="4"/>
      <c r="I39" s="12" t="s">
        <v>101</v>
      </c>
      <c r="J39" s="12">
        <v>637</v>
      </c>
      <c r="K39" s="12">
        <v>34</v>
      </c>
      <c r="L39">
        <v>39.28</v>
      </c>
      <c r="M39">
        <v>88.06</v>
      </c>
    </row>
    <row r="40" spans="4:13" x14ac:dyDescent="0.35">
      <c r="D40" t="s">
        <v>84</v>
      </c>
      <c r="E40" t="s">
        <v>84</v>
      </c>
      <c r="F40">
        <v>89.04</v>
      </c>
      <c r="G40">
        <v>41.35</v>
      </c>
      <c r="H40" s="4"/>
      <c r="I40" s="12" t="s">
        <v>101</v>
      </c>
      <c r="J40" s="12">
        <v>638</v>
      </c>
      <c r="K40" s="12">
        <v>35</v>
      </c>
      <c r="L40">
        <v>41.35</v>
      </c>
      <c r="M40">
        <v>89.04</v>
      </c>
    </row>
    <row r="41" spans="4:13" x14ac:dyDescent="0.35">
      <c r="D41" t="s">
        <v>85</v>
      </c>
      <c r="E41" t="s">
        <v>85</v>
      </c>
      <c r="F41">
        <v>86.58</v>
      </c>
      <c r="G41">
        <v>42.02</v>
      </c>
      <c r="H41" s="4"/>
      <c r="I41" s="12" t="s">
        <v>101</v>
      </c>
      <c r="J41" s="12">
        <v>639</v>
      </c>
      <c r="K41" s="12">
        <v>36</v>
      </c>
      <c r="L41">
        <v>42.02</v>
      </c>
      <c r="M41">
        <v>86.58</v>
      </c>
    </row>
    <row r="42" spans="4:13" x14ac:dyDescent="0.35">
      <c r="D42" t="s">
        <v>87</v>
      </c>
      <c r="E42" t="s">
        <v>87</v>
      </c>
      <c r="F42">
        <v>88.62</v>
      </c>
      <c r="G42">
        <v>51.82</v>
      </c>
      <c r="H42" s="4"/>
      <c r="I42" s="12" t="s">
        <v>101</v>
      </c>
      <c r="J42" s="12">
        <v>641</v>
      </c>
      <c r="K42" s="12">
        <v>38</v>
      </c>
      <c r="L42">
        <v>51.82</v>
      </c>
      <c r="M42">
        <v>88.62</v>
      </c>
    </row>
    <row r="43" spans="4:13" x14ac:dyDescent="0.35">
      <c r="D43" t="s">
        <v>90</v>
      </c>
      <c r="E43" t="s">
        <v>90</v>
      </c>
      <c r="F43">
        <v>88.04</v>
      </c>
      <c r="G43">
        <v>41.59</v>
      </c>
      <c r="H43" s="4"/>
      <c r="I43" s="12" t="s">
        <v>101</v>
      </c>
      <c r="J43" s="12">
        <v>644</v>
      </c>
      <c r="K43" s="12">
        <v>49</v>
      </c>
      <c r="L43">
        <v>41.59</v>
      </c>
      <c r="M43">
        <v>88.04</v>
      </c>
    </row>
    <row r="44" spans="4:13" x14ac:dyDescent="0.35">
      <c r="D44" t="s">
        <v>91</v>
      </c>
      <c r="E44" t="s">
        <v>91</v>
      </c>
      <c r="F44">
        <v>88.46</v>
      </c>
      <c r="G44">
        <v>41.76</v>
      </c>
      <c r="H44" s="4"/>
      <c r="I44" s="12" t="s">
        <v>101</v>
      </c>
      <c r="J44" s="12">
        <v>645</v>
      </c>
      <c r="K44" s="12">
        <v>50</v>
      </c>
      <c r="L44">
        <v>41.76</v>
      </c>
      <c r="M44">
        <v>88.46</v>
      </c>
    </row>
    <row r="45" spans="4:13" x14ac:dyDescent="0.35">
      <c r="D45" t="s">
        <v>93</v>
      </c>
      <c r="E45" t="s">
        <v>93</v>
      </c>
      <c r="F45">
        <v>88.08</v>
      </c>
      <c r="G45">
        <v>42.53</v>
      </c>
      <c r="H45" s="4"/>
      <c r="I45" s="12" t="s">
        <v>101</v>
      </c>
      <c r="J45" s="12">
        <v>648</v>
      </c>
      <c r="K45" s="12">
        <v>53</v>
      </c>
      <c r="L45">
        <v>42.53</v>
      </c>
      <c r="M45">
        <v>88.08</v>
      </c>
    </row>
    <row r="46" spans="4:13" x14ac:dyDescent="0.35">
      <c r="D46" t="s">
        <v>94</v>
      </c>
      <c r="E46" t="s">
        <v>94</v>
      </c>
      <c r="F46">
        <v>89.03</v>
      </c>
      <c r="G46">
        <v>41.28</v>
      </c>
      <c r="H46" s="4"/>
      <c r="I46" s="12" t="s">
        <v>101</v>
      </c>
      <c r="J46" s="12">
        <v>650</v>
      </c>
      <c r="K46" s="12">
        <v>55</v>
      </c>
      <c r="L46">
        <v>41.28</v>
      </c>
      <c r="M46">
        <v>89.03</v>
      </c>
    </row>
    <row r="47" spans="4:13" x14ac:dyDescent="0.35">
      <c r="E47" s="13"/>
      <c r="F47" s="13"/>
      <c r="G47" s="14"/>
      <c r="H47" s="4"/>
      <c r="I47" s="18"/>
      <c r="J47" s="18"/>
    </row>
    <row r="48" spans="4:13" x14ac:dyDescent="0.35">
      <c r="I48" s="18"/>
      <c r="J48" s="18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ter_unused_barcodes">
                <anchor moveWithCells="1" sizeWithCells="1">
                  <from>
                    <xdr:col>8</xdr:col>
                    <xdr:colOff>63500</xdr:colOff>
                    <xdr:row>13</xdr:row>
                    <xdr:rowOff>95250</xdr:rowOff>
                  </from>
                  <to>
                    <xdr:col>9</xdr:col>
                    <xdr:colOff>387350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50361-E3FB-4D42-9FA9-77A6984BBAC1}">
  <sheetPr codeName="Sheet2"/>
  <dimension ref="A1:P97"/>
  <sheetViews>
    <sheetView zoomScale="63" workbookViewId="0">
      <selection activeCell="J46" sqref="J1:J46"/>
    </sheetView>
  </sheetViews>
  <sheetFormatPr defaultRowHeight="14.5" x14ac:dyDescent="0.35"/>
  <cols>
    <col min="1" max="1" width="19.453125" bestFit="1" customWidth="1"/>
    <col min="2" max="3" width="13.08984375" bestFit="1" customWidth="1"/>
    <col min="4" max="4" width="22.54296875" bestFit="1" customWidth="1"/>
    <col min="5" max="5" width="22.6328125" bestFit="1" customWidth="1"/>
    <col min="6" max="6" width="10.90625" bestFit="1" customWidth="1"/>
    <col min="7" max="7" width="12.453125" bestFit="1" customWidth="1"/>
    <col min="8" max="8" width="22.26953125" bestFit="1" customWidth="1"/>
    <col min="9" max="9" width="12.453125" bestFit="1" customWidth="1"/>
    <col min="10" max="10" width="14.81640625" bestFit="1" customWidth="1"/>
    <col min="11" max="11" width="22.54296875" bestFit="1" customWidth="1"/>
  </cols>
  <sheetData>
    <row r="1" spans="1:16" x14ac:dyDescent="0.35">
      <c r="A1" t="s">
        <v>8</v>
      </c>
      <c r="B1" t="s">
        <v>9</v>
      </c>
      <c r="C1" t="s">
        <v>10</v>
      </c>
      <c r="D1" s="2" t="s">
        <v>4</v>
      </c>
      <c r="F1" s="2" t="s">
        <v>0</v>
      </c>
      <c r="G1" s="2" t="s">
        <v>1</v>
      </c>
      <c r="H1" s="2" t="s">
        <v>2</v>
      </c>
      <c r="I1" s="2" t="s">
        <v>6</v>
      </c>
      <c r="J1" s="2" t="s">
        <v>3</v>
      </c>
      <c r="K1" s="2" t="s">
        <v>4</v>
      </c>
    </row>
    <row r="2" spans="1:16" x14ac:dyDescent="0.35">
      <c r="A2" t="s">
        <v>14</v>
      </c>
      <c r="B2">
        <v>86.86</v>
      </c>
      <c r="C2">
        <v>0.02</v>
      </c>
      <c r="D2" t="s">
        <v>21</v>
      </c>
      <c r="F2" s="1" t="s">
        <v>96</v>
      </c>
      <c r="G2" s="1" t="s">
        <v>5</v>
      </c>
      <c r="H2" s="1" t="s">
        <v>7</v>
      </c>
      <c r="I2" s="1" t="s">
        <v>5</v>
      </c>
      <c r="J2" s="19">
        <v>89</v>
      </c>
      <c r="K2" s="1" t="str">
        <f t="shared" ref="K2:K47" si="0">_xlfn.CONCAT(F2:J2)</f>
        <v>V300048940_L01_89</v>
      </c>
    </row>
    <row r="3" spans="1:16" x14ac:dyDescent="0.35">
      <c r="A3" t="s">
        <v>15</v>
      </c>
      <c r="B3">
        <v>86.82</v>
      </c>
      <c r="C3">
        <v>0.02</v>
      </c>
      <c r="D3" t="s">
        <v>22</v>
      </c>
      <c r="F3" s="1" t="str">
        <f>F2</f>
        <v>V300048940</v>
      </c>
      <c r="G3" s="1" t="str">
        <f>G2</f>
        <v>_</v>
      </c>
      <c r="H3" s="1" t="str">
        <f>H2</f>
        <v>L01</v>
      </c>
      <c r="I3" s="1" t="str">
        <f>I2</f>
        <v>_</v>
      </c>
      <c r="J3" s="19">
        <v>90</v>
      </c>
      <c r="K3" s="1" t="str">
        <f t="shared" si="0"/>
        <v>V300048940_L01_90</v>
      </c>
      <c r="N3" s="9" t="s">
        <v>97</v>
      </c>
      <c r="P3" s="15">
        <v>1</v>
      </c>
    </row>
    <row r="4" spans="1:16" x14ac:dyDescent="0.35">
      <c r="A4" t="s">
        <v>16</v>
      </c>
      <c r="B4">
        <v>88.48</v>
      </c>
      <c r="C4">
        <v>0.06</v>
      </c>
      <c r="D4" t="s">
        <v>23</v>
      </c>
      <c r="F4" s="1" t="str">
        <f t="shared" ref="F4:F11" si="1">F3</f>
        <v>V300048940</v>
      </c>
      <c r="G4" s="1" t="str">
        <f t="shared" ref="G4:G11" si="2">G3</f>
        <v>_</v>
      </c>
      <c r="H4" s="1" t="str">
        <f t="shared" ref="H4:H13" si="3">H3</f>
        <v>L01</v>
      </c>
      <c r="I4" s="1" t="str">
        <f t="shared" ref="I4:I11" si="4">I3</f>
        <v>_</v>
      </c>
      <c r="J4" s="19">
        <v>91</v>
      </c>
      <c r="K4" s="1" t="str">
        <f t="shared" si="0"/>
        <v>V300048940_L01_91</v>
      </c>
      <c r="N4" s="9" t="s">
        <v>98</v>
      </c>
      <c r="P4" s="15">
        <v>2</v>
      </c>
    </row>
    <row r="5" spans="1:16" x14ac:dyDescent="0.35">
      <c r="A5" t="s">
        <v>17</v>
      </c>
      <c r="B5">
        <v>87.68</v>
      </c>
      <c r="C5">
        <v>0.01</v>
      </c>
      <c r="D5" t="s">
        <v>24</v>
      </c>
      <c r="F5" s="1" t="str">
        <f t="shared" si="1"/>
        <v>V300048940</v>
      </c>
      <c r="G5" s="1" t="str">
        <f t="shared" si="2"/>
        <v>_</v>
      </c>
      <c r="H5" s="1" t="str">
        <f t="shared" si="3"/>
        <v>L01</v>
      </c>
      <c r="I5" s="1" t="str">
        <f t="shared" si="4"/>
        <v>_</v>
      </c>
      <c r="J5" s="19">
        <v>92</v>
      </c>
      <c r="K5" s="1" t="str">
        <f t="shared" si="0"/>
        <v>V300048940_L01_92</v>
      </c>
      <c r="N5" s="9" t="s">
        <v>99</v>
      </c>
      <c r="P5" s="15">
        <v>3</v>
      </c>
    </row>
    <row r="6" spans="1:16" x14ac:dyDescent="0.35">
      <c r="A6" t="s">
        <v>18</v>
      </c>
      <c r="B6">
        <v>87.95</v>
      </c>
      <c r="C6">
        <v>0.16</v>
      </c>
      <c r="D6" t="s">
        <v>25</v>
      </c>
      <c r="F6" s="1" t="str">
        <f t="shared" si="1"/>
        <v>V300048940</v>
      </c>
      <c r="G6" s="1" t="str">
        <f t="shared" si="2"/>
        <v>_</v>
      </c>
      <c r="H6" s="1" t="str">
        <f t="shared" si="3"/>
        <v>L01</v>
      </c>
      <c r="I6" s="1" t="str">
        <f t="shared" si="4"/>
        <v>_</v>
      </c>
      <c r="J6" s="19">
        <v>93</v>
      </c>
      <c r="K6" s="1" t="str">
        <f t="shared" si="0"/>
        <v>V300048940_L01_93</v>
      </c>
      <c r="N6" s="10" t="s">
        <v>100</v>
      </c>
      <c r="P6" s="15">
        <v>4</v>
      </c>
    </row>
    <row r="7" spans="1:16" x14ac:dyDescent="0.35">
      <c r="A7" t="s">
        <v>19</v>
      </c>
      <c r="B7">
        <v>86.39</v>
      </c>
      <c r="C7">
        <v>0.02</v>
      </c>
      <c r="D7" t="s">
        <v>26</v>
      </c>
      <c r="F7" s="1" t="str">
        <f t="shared" si="1"/>
        <v>V300048940</v>
      </c>
      <c r="G7" s="1" t="str">
        <f t="shared" si="2"/>
        <v>_</v>
      </c>
      <c r="H7" s="1" t="str">
        <f t="shared" si="3"/>
        <v>L01</v>
      </c>
      <c r="I7" s="1" t="str">
        <f t="shared" si="4"/>
        <v>_</v>
      </c>
      <c r="J7" s="19">
        <v>94</v>
      </c>
      <c r="K7" s="1" t="str">
        <f t="shared" si="0"/>
        <v>V300048940_L01_94</v>
      </c>
      <c r="P7" s="15">
        <v>13</v>
      </c>
    </row>
    <row r="8" spans="1:16" x14ac:dyDescent="0.35">
      <c r="A8" t="s">
        <v>20</v>
      </c>
      <c r="B8">
        <v>87.55</v>
      </c>
      <c r="C8">
        <v>0.02</v>
      </c>
      <c r="D8" t="s">
        <v>27</v>
      </c>
      <c r="F8" s="1" t="str">
        <f t="shared" si="1"/>
        <v>V300048940</v>
      </c>
      <c r="G8" s="1" t="str">
        <f t="shared" si="2"/>
        <v>_</v>
      </c>
      <c r="H8" s="1" t="str">
        <f t="shared" si="3"/>
        <v>L01</v>
      </c>
      <c r="I8" s="1" t="str">
        <f t="shared" si="4"/>
        <v>_</v>
      </c>
      <c r="J8" s="19">
        <v>95</v>
      </c>
      <c r="K8" s="1" t="str">
        <f t="shared" si="0"/>
        <v>V300048940_L01_95</v>
      </c>
      <c r="P8" s="15">
        <v>15</v>
      </c>
    </row>
    <row r="9" spans="1:16" x14ac:dyDescent="0.35">
      <c r="A9" t="s">
        <v>21</v>
      </c>
      <c r="B9">
        <v>87.38</v>
      </c>
      <c r="C9">
        <v>43.68</v>
      </c>
      <c r="D9" t="s">
        <v>28</v>
      </c>
      <c r="F9" s="1" t="str">
        <f t="shared" si="1"/>
        <v>V300048940</v>
      </c>
      <c r="G9" s="1" t="str">
        <f t="shared" si="2"/>
        <v>_</v>
      </c>
      <c r="H9" s="1" t="str">
        <f t="shared" si="3"/>
        <v>L01</v>
      </c>
      <c r="I9" s="1" t="str">
        <f t="shared" si="4"/>
        <v>_</v>
      </c>
      <c r="J9" s="19">
        <v>96</v>
      </c>
      <c r="K9" s="1" t="str">
        <f t="shared" si="0"/>
        <v>V300048940_L01_96</v>
      </c>
      <c r="P9" s="15">
        <v>16</v>
      </c>
    </row>
    <row r="10" spans="1:16" x14ac:dyDescent="0.35">
      <c r="A10" t="s">
        <v>22</v>
      </c>
      <c r="B10">
        <v>87.75</v>
      </c>
      <c r="C10">
        <v>42.1</v>
      </c>
      <c r="D10" t="s">
        <v>29</v>
      </c>
      <c r="F10" s="1" t="str">
        <f t="shared" si="1"/>
        <v>V300048940</v>
      </c>
      <c r="G10" s="1" t="str">
        <f t="shared" si="2"/>
        <v>_</v>
      </c>
      <c r="H10" s="1" t="str">
        <f t="shared" si="3"/>
        <v>L01</v>
      </c>
      <c r="I10" s="1" t="str">
        <f t="shared" si="4"/>
        <v>_</v>
      </c>
      <c r="J10" s="19">
        <v>97</v>
      </c>
      <c r="K10" s="1" t="str">
        <f t="shared" si="0"/>
        <v>V300048940_L01_97</v>
      </c>
      <c r="P10" s="15">
        <v>41</v>
      </c>
    </row>
    <row r="11" spans="1:16" x14ac:dyDescent="0.35">
      <c r="A11" t="s">
        <v>23</v>
      </c>
      <c r="B11">
        <v>87.83</v>
      </c>
      <c r="C11">
        <v>46.48</v>
      </c>
      <c r="D11" t="s">
        <v>30</v>
      </c>
      <c r="F11" s="1" t="str">
        <f t="shared" si="1"/>
        <v>V300048940</v>
      </c>
      <c r="G11" s="1" t="str">
        <f t="shared" si="2"/>
        <v>_</v>
      </c>
      <c r="H11" s="1" t="str">
        <f t="shared" si="3"/>
        <v>L01</v>
      </c>
      <c r="I11" s="1" t="str">
        <f t="shared" si="4"/>
        <v>_</v>
      </c>
      <c r="J11" s="19">
        <v>98</v>
      </c>
      <c r="K11" s="1" t="str">
        <f t="shared" si="0"/>
        <v>V300048940_L01_98</v>
      </c>
      <c r="P11" s="15">
        <v>42</v>
      </c>
    </row>
    <row r="12" spans="1:16" x14ac:dyDescent="0.35">
      <c r="A12" t="s">
        <v>24</v>
      </c>
      <c r="B12">
        <v>87.7</v>
      </c>
      <c r="C12">
        <v>37.21</v>
      </c>
      <c r="D12" t="s">
        <v>31</v>
      </c>
      <c r="F12" s="1" t="str">
        <f>F11</f>
        <v>V300048940</v>
      </c>
      <c r="G12" s="1" t="str">
        <f>G11</f>
        <v>_</v>
      </c>
      <c r="H12" s="1" t="str">
        <f t="shared" si="3"/>
        <v>L01</v>
      </c>
      <c r="I12" s="1" t="str">
        <f>I11</f>
        <v>_</v>
      </c>
      <c r="J12" s="19">
        <v>99</v>
      </c>
      <c r="K12" s="1" t="str">
        <f t="shared" si="0"/>
        <v>V300048940_L01_99</v>
      </c>
      <c r="P12" s="15">
        <v>43</v>
      </c>
    </row>
    <row r="13" spans="1:16" x14ac:dyDescent="0.35">
      <c r="A13" t="s">
        <v>25</v>
      </c>
      <c r="B13">
        <v>87.66</v>
      </c>
      <c r="C13">
        <v>44.02</v>
      </c>
      <c r="D13" t="s">
        <v>32</v>
      </c>
      <c r="F13" s="1" t="str">
        <f t="shared" ref="F13:F21" si="5">F12</f>
        <v>V300048940</v>
      </c>
      <c r="G13" s="1" t="str">
        <f t="shared" ref="G13:G21" si="6">G12</f>
        <v>_</v>
      </c>
      <c r="H13" s="1" t="s">
        <v>11</v>
      </c>
      <c r="I13" s="1" t="str">
        <f t="shared" ref="I13:I21" si="7">I12</f>
        <v>_</v>
      </c>
      <c r="J13" s="11">
        <v>100</v>
      </c>
      <c r="K13" s="1" t="str">
        <f t="shared" si="0"/>
        <v>V300048940_L02_100</v>
      </c>
      <c r="P13" s="15">
        <v>44</v>
      </c>
    </row>
    <row r="14" spans="1:16" x14ac:dyDescent="0.35">
      <c r="A14" t="s">
        <v>26</v>
      </c>
      <c r="B14">
        <v>88.63</v>
      </c>
      <c r="C14">
        <v>42</v>
      </c>
      <c r="D14" t="s">
        <v>33</v>
      </c>
      <c r="F14" s="1" t="str">
        <f t="shared" si="5"/>
        <v>V300048940</v>
      </c>
      <c r="G14" s="1" t="str">
        <f t="shared" si="6"/>
        <v>_</v>
      </c>
      <c r="H14" s="1" t="s">
        <v>11</v>
      </c>
      <c r="I14" s="1" t="str">
        <f t="shared" si="7"/>
        <v>_</v>
      </c>
      <c r="J14" s="11">
        <v>101</v>
      </c>
      <c r="K14" s="1" t="str">
        <f t="shared" si="0"/>
        <v>V300048940_L02_101</v>
      </c>
      <c r="P14" s="15">
        <v>115</v>
      </c>
    </row>
    <row r="15" spans="1:16" x14ac:dyDescent="0.35">
      <c r="A15" t="s">
        <v>27</v>
      </c>
      <c r="B15">
        <v>86.9</v>
      </c>
      <c r="C15">
        <v>40.11</v>
      </c>
      <c r="D15" t="s">
        <v>34</v>
      </c>
      <c r="F15" s="1" t="str">
        <f t="shared" si="5"/>
        <v>V300048940</v>
      </c>
      <c r="G15" s="1" t="str">
        <f t="shared" si="6"/>
        <v>_</v>
      </c>
      <c r="H15" s="1" t="str">
        <f t="shared" ref="H15:H25" si="8">H14</f>
        <v>L02</v>
      </c>
      <c r="I15" s="1" t="str">
        <f t="shared" si="7"/>
        <v>_</v>
      </c>
      <c r="J15" s="11">
        <v>102</v>
      </c>
      <c r="K15" s="1" t="str">
        <f t="shared" si="0"/>
        <v>V300048940_L02_102</v>
      </c>
      <c r="P15" s="16">
        <v>45</v>
      </c>
    </row>
    <row r="16" spans="1:16" x14ac:dyDescent="0.35">
      <c r="A16" t="s">
        <v>28</v>
      </c>
      <c r="B16">
        <v>86.08</v>
      </c>
      <c r="C16">
        <v>48.38</v>
      </c>
      <c r="D16" t="s">
        <v>36</v>
      </c>
      <c r="F16" s="1" t="str">
        <f t="shared" si="5"/>
        <v>V300048940</v>
      </c>
      <c r="G16" s="1" t="str">
        <f t="shared" si="6"/>
        <v>_</v>
      </c>
      <c r="H16" s="1" t="str">
        <f t="shared" si="8"/>
        <v>L02</v>
      </c>
      <c r="I16" s="1" t="str">
        <f t="shared" si="7"/>
        <v>_</v>
      </c>
      <c r="J16" s="11">
        <v>104</v>
      </c>
      <c r="K16" s="1" t="str">
        <f t="shared" si="0"/>
        <v>V300048940_L02_104</v>
      </c>
      <c r="P16" s="16">
        <v>46</v>
      </c>
    </row>
    <row r="17" spans="1:16" x14ac:dyDescent="0.35">
      <c r="A17" t="s">
        <v>29</v>
      </c>
      <c r="B17">
        <v>88.53</v>
      </c>
      <c r="C17">
        <v>48.24</v>
      </c>
      <c r="D17" t="s">
        <v>39</v>
      </c>
      <c r="F17" s="1" t="str">
        <f t="shared" si="5"/>
        <v>V300048940</v>
      </c>
      <c r="G17" s="1" t="str">
        <f t="shared" si="6"/>
        <v>_</v>
      </c>
      <c r="H17" s="1" t="str">
        <f t="shared" si="8"/>
        <v>L02</v>
      </c>
      <c r="I17" s="1" t="str">
        <f t="shared" si="7"/>
        <v>_</v>
      </c>
      <c r="J17" s="11">
        <v>121</v>
      </c>
      <c r="K17" s="1" t="str">
        <f t="shared" si="0"/>
        <v>V300048940_L02_121</v>
      </c>
      <c r="P17" s="16">
        <v>47</v>
      </c>
    </row>
    <row r="18" spans="1:16" x14ac:dyDescent="0.35">
      <c r="A18" t="s">
        <v>30</v>
      </c>
      <c r="B18">
        <v>87.42</v>
      </c>
      <c r="C18">
        <v>41.63</v>
      </c>
      <c r="D18" t="s">
        <v>40</v>
      </c>
      <c r="F18" s="1" t="str">
        <f t="shared" si="5"/>
        <v>V300048940</v>
      </c>
      <c r="G18" s="1" t="str">
        <f t="shared" si="6"/>
        <v>_</v>
      </c>
      <c r="H18" s="1" t="str">
        <f t="shared" si="8"/>
        <v>L02</v>
      </c>
      <c r="I18" s="1" t="str">
        <f t="shared" si="7"/>
        <v>_</v>
      </c>
      <c r="J18" s="11">
        <v>122</v>
      </c>
      <c r="K18" s="1" t="str">
        <f t="shared" si="0"/>
        <v>V300048940_L02_122</v>
      </c>
      <c r="P18" s="16">
        <v>48</v>
      </c>
    </row>
    <row r="19" spans="1:16" x14ac:dyDescent="0.35">
      <c r="A19" t="s">
        <v>31</v>
      </c>
      <c r="B19">
        <v>87.47</v>
      </c>
      <c r="C19">
        <v>42.98</v>
      </c>
      <c r="D19" t="s">
        <v>41</v>
      </c>
      <c r="F19" s="1" t="str">
        <f t="shared" si="5"/>
        <v>V300048940</v>
      </c>
      <c r="G19" s="1" t="str">
        <f t="shared" si="6"/>
        <v>_</v>
      </c>
      <c r="H19" s="1" t="str">
        <f t="shared" si="8"/>
        <v>L02</v>
      </c>
      <c r="I19" s="1" t="str">
        <f t="shared" si="7"/>
        <v>_</v>
      </c>
      <c r="J19" s="11">
        <v>123</v>
      </c>
      <c r="K19" s="1" t="str">
        <f t="shared" si="0"/>
        <v>V300048940_L02_123</v>
      </c>
      <c r="P19" s="16">
        <v>57</v>
      </c>
    </row>
    <row r="20" spans="1:16" x14ac:dyDescent="0.35">
      <c r="A20" t="s">
        <v>32</v>
      </c>
      <c r="B20">
        <v>87.44</v>
      </c>
      <c r="C20">
        <v>33.729999999999997</v>
      </c>
      <c r="D20" t="s">
        <v>42</v>
      </c>
      <c r="F20" s="1" t="str">
        <f t="shared" si="5"/>
        <v>V300048940</v>
      </c>
      <c r="G20" s="1" t="str">
        <f t="shared" si="6"/>
        <v>_</v>
      </c>
      <c r="H20" s="1" t="str">
        <f t="shared" si="8"/>
        <v>L02</v>
      </c>
      <c r="I20" s="1" t="str">
        <f t="shared" si="7"/>
        <v>_</v>
      </c>
      <c r="J20" s="11">
        <v>124</v>
      </c>
      <c r="K20" s="1" t="str">
        <f t="shared" si="0"/>
        <v>V300048940_L02_124</v>
      </c>
      <c r="P20" s="16">
        <v>58</v>
      </c>
    </row>
    <row r="21" spans="1:16" x14ac:dyDescent="0.35">
      <c r="A21" t="s">
        <v>33</v>
      </c>
      <c r="B21">
        <v>87.35</v>
      </c>
      <c r="C21">
        <v>34.71</v>
      </c>
      <c r="D21" t="s">
        <v>43</v>
      </c>
      <c r="F21" s="1" t="str">
        <f t="shared" si="5"/>
        <v>V300048940</v>
      </c>
      <c r="G21" s="1" t="str">
        <f t="shared" si="6"/>
        <v>_</v>
      </c>
      <c r="H21" s="1" t="str">
        <f t="shared" si="8"/>
        <v>L02</v>
      </c>
      <c r="I21" s="1" t="str">
        <f t="shared" si="7"/>
        <v>_</v>
      </c>
      <c r="J21" s="11">
        <v>125</v>
      </c>
      <c r="K21" s="1" t="str">
        <f t="shared" si="0"/>
        <v>V300048940_L02_125</v>
      </c>
      <c r="P21" s="16">
        <v>59</v>
      </c>
    </row>
    <row r="22" spans="1:16" x14ac:dyDescent="0.35">
      <c r="A22" t="s">
        <v>34</v>
      </c>
      <c r="B22">
        <v>86.09</v>
      </c>
      <c r="C22">
        <v>38.979999999999997</v>
      </c>
      <c r="D22" t="s">
        <v>44</v>
      </c>
      <c r="F22" s="1" t="str">
        <f t="shared" ref="F22" si="9">F21</f>
        <v>V300048940</v>
      </c>
      <c r="G22" s="1" t="str">
        <f t="shared" ref="G22" si="10">G21</f>
        <v>_</v>
      </c>
      <c r="H22" s="1" t="str">
        <f t="shared" si="8"/>
        <v>L02</v>
      </c>
      <c r="I22" s="1" t="str">
        <f t="shared" ref="I22:I27" si="11">I21</f>
        <v>_</v>
      </c>
      <c r="J22" s="11">
        <v>126</v>
      </c>
      <c r="K22" s="1" t="str">
        <f t="shared" si="0"/>
        <v>V300048940_L02_126</v>
      </c>
      <c r="P22" s="16">
        <v>60</v>
      </c>
    </row>
    <row r="23" spans="1:16" x14ac:dyDescent="0.35">
      <c r="A23" t="s">
        <v>35</v>
      </c>
      <c r="B23">
        <v>87.2</v>
      </c>
      <c r="C23">
        <v>0.01</v>
      </c>
      <c r="D23" t="s">
        <v>45</v>
      </c>
      <c r="F23" s="1" t="str">
        <f t="shared" ref="F23:F27" si="12">F22</f>
        <v>V300048940</v>
      </c>
      <c r="G23" s="1" t="str">
        <f t="shared" ref="G23:G27" si="13">G22</f>
        <v>_</v>
      </c>
      <c r="H23" s="1" t="str">
        <f t="shared" si="8"/>
        <v>L02</v>
      </c>
      <c r="I23" s="1" t="str">
        <f t="shared" si="11"/>
        <v>_</v>
      </c>
      <c r="J23" s="11">
        <v>127</v>
      </c>
      <c r="K23" s="1" t="str">
        <f t="shared" si="0"/>
        <v>V300048940_L02_127</v>
      </c>
      <c r="P23" s="16">
        <v>61</v>
      </c>
    </row>
    <row r="24" spans="1:16" x14ac:dyDescent="0.35">
      <c r="A24" t="s">
        <v>36</v>
      </c>
      <c r="B24">
        <v>88.55</v>
      </c>
      <c r="C24">
        <v>45.14</v>
      </c>
      <c r="D24" t="s">
        <v>46</v>
      </c>
      <c r="F24" s="1" t="str">
        <f t="shared" si="12"/>
        <v>V300048940</v>
      </c>
      <c r="G24" s="1" t="str">
        <f t="shared" si="13"/>
        <v>_</v>
      </c>
      <c r="H24" s="1" t="str">
        <f t="shared" si="8"/>
        <v>L02</v>
      </c>
      <c r="I24" s="1" t="str">
        <f t="shared" si="11"/>
        <v>_</v>
      </c>
      <c r="J24" s="11">
        <v>128</v>
      </c>
      <c r="K24" s="1" t="str">
        <f t="shared" si="0"/>
        <v>V300048940_L02_128</v>
      </c>
      <c r="P24" s="16">
        <v>62</v>
      </c>
    </row>
    <row r="25" spans="1:16" x14ac:dyDescent="0.35">
      <c r="A25" t="s">
        <v>37</v>
      </c>
      <c r="B25">
        <v>87.37</v>
      </c>
      <c r="C25">
        <v>0.01</v>
      </c>
      <c r="D25" t="s">
        <v>61</v>
      </c>
      <c r="F25" s="1" t="str">
        <f t="shared" si="12"/>
        <v>V300048940</v>
      </c>
      <c r="G25" s="1" t="str">
        <f t="shared" si="13"/>
        <v>_</v>
      </c>
      <c r="H25" s="1" t="s">
        <v>12</v>
      </c>
      <c r="I25" s="1" t="str">
        <f t="shared" si="11"/>
        <v>_</v>
      </c>
      <c r="J25" s="20">
        <v>25</v>
      </c>
      <c r="K25" s="1" t="str">
        <f t="shared" si="0"/>
        <v>V300048940_L03_25</v>
      </c>
      <c r="P25" s="16">
        <v>63</v>
      </c>
    </row>
    <row r="26" spans="1:16" x14ac:dyDescent="0.35">
      <c r="A26" t="s">
        <v>38</v>
      </c>
      <c r="B26">
        <v>86.23</v>
      </c>
      <c r="C26">
        <v>0.01</v>
      </c>
      <c r="D26" t="s">
        <v>62</v>
      </c>
      <c r="F26" s="1" t="str">
        <f t="shared" si="12"/>
        <v>V300048940</v>
      </c>
      <c r="G26" s="1" t="str">
        <f t="shared" si="13"/>
        <v>_</v>
      </c>
      <c r="H26" s="1" t="s">
        <v>12</v>
      </c>
      <c r="I26" s="1" t="str">
        <f t="shared" si="11"/>
        <v>_</v>
      </c>
      <c r="J26" s="20">
        <v>26</v>
      </c>
      <c r="K26" s="1" t="str">
        <f t="shared" si="0"/>
        <v>V300048940_L03_26</v>
      </c>
      <c r="P26" s="16">
        <v>64</v>
      </c>
    </row>
    <row r="27" spans="1:16" x14ac:dyDescent="0.35">
      <c r="A27" t="s">
        <v>39</v>
      </c>
      <c r="B27">
        <v>87.26</v>
      </c>
      <c r="C27">
        <v>40.58</v>
      </c>
      <c r="D27" t="s">
        <v>59</v>
      </c>
      <c r="F27" s="1" t="str">
        <f t="shared" si="12"/>
        <v>V300048940</v>
      </c>
      <c r="G27" s="1" t="str">
        <f t="shared" si="13"/>
        <v>_</v>
      </c>
      <c r="H27" s="1" t="str">
        <f t="shared" ref="H27:H44" si="14">H26</f>
        <v>L03</v>
      </c>
      <c r="I27" s="1" t="str">
        <f t="shared" si="11"/>
        <v>_</v>
      </c>
      <c r="J27" s="20">
        <v>117</v>
      </c>
      <c r="K27" s="1" t="str">
        <f t="shared" si="0"/>
        <v>V300048940_L03_117</v>
      </c>
      <c r="P27" s="17">
        <v>65</v>
      </c>
    </row>
    <row r="28" spans="1:16" x14ac:dyDescent="0.35">
      <c r="A28" t="s">
        <v>40</v>
      </c>
      <c r="B28">
        <v>86.8</v>
      </c>
      <c r="C28">
        <v>37.89</v>
      </c>
      <c r="D28" t="s">
        <v>64</v>
      </c>
      <c r="F28" s="1" t="str">
        <f t="shared" ref="F28:F47" si="15">F27</f>
        <v>V300048940</v>
      </c>
      <c r="G28" s="1" t="str">
        <f t="shared" ref="G28:G47" si="16">G27</f>
        <v>_</v>
      </c>
      <c r="H28" s="1" t="str">
        <f t="shared" si="14"/>
        <v>L03</v>
      </c>
      <c r="I28" s="1" t="str">
        <f t="shared" ref="I28:I47" si="17">I27</f>
        <v>_</v>
      </c>
      <c r="J28" s="20">
        <v>30</v>
      </c>
      <c r="K28" s="1" t="str">
        <f>_xlfn.CONCAT(F28:J28)</f>
        <v>V300048940_L03_30</v>
      </c>
      <c r="P28" s="17">
        <v>66</v>
      </c>
    </row>
    <row r="29" spans="1:16" x14ac:dyDescent="0.35">
      <c r="A29" t="s">
        <v>41</v>
      </c>
      <c r="B29">
        <v>87.26</v>
      </c>
      <c r="C29">
        <v>40.93</v>
      </c>
      <c r="D29" t="s">
        <v>56</v>
      </c>
      <c r="F29" s="1" t="str">
        <f t="shared" si="15"/>
        <v>V300048940</v>
      </c>
      <c r="G29" s="1" t="str">
        <f t="shared" si="16"/>
        <v>_</v>
      </c>
      <c r="H29" s="1" t="str">
        <f t="shared" si="14"/>
        <v>L03</v>
      </c>
      <c r="I29" s="1" t="str">
        <f t="shared" si="17"/>
        <v>_</v>
      </c>
      <c r="J29" s="20">
        <v>114</v>
      </c>
      <c r="K29" s="1" t="str">
        <f>_xlfn.CONCAT(F29:J29)</f>
        <v>V300048940_L03_114</v>
      </c>
      <c r="P29" s="17">
        <v>67</v>
      </c>
    </row>
    <row r="30" spans="1:16" x14ac:dyDescent="0.35">
      <c r="A30" t="s">
        <v>42</v>
      </c>
      <c r="B30">
        <v>88.07</v>
      </c>
      <c r="C30">
        <v>36.380000000000003</v>
      </c>
      <c r="D30" t="s">
        <v>65</v>
      </c>
      <c r="F30" s="1" t="str">
        <f t="shared" si="15"/>
        <v>V300048940</v>
      </c>
      <c r="G30" s="1" t="str">
        <f t="shared" si="16"/>
        <v>_</v>
      </c>
      <c r="H30" s="1" t="str">
        <f t="shared" si="14"/>
        <v>L03</v>
      </c>
      <c r="I30" s="1" t="str">
        <f t="shared" si="17"/>
        <v>_</v>
      </c>
      <c r="J30" s="20">
        <v>32</v>
      </c>
      <c r="K30" s="1" t="str">
        <f t="shared" si="0"/>
        <v>V300048940_L03_32</v>
      </c>
      <c r="P30" s="17">
        <v>68</v>
      </c>
    </row>
    <row r="31" spans="1:16" x14ac:dyDescent="0.35">
      <c r="A31" t="s">
        <v>43</v>
      </c>
      <c r="B31">
        <v>87.58</v>
      </c>
      <c r="C31">
        <v>34.83</v>
      </c>
      <c r="D31" t="s">
        <v>67</v>
      </c>
      <c r="F31" s="1" t="str">
        <f t="shared" si="15"/>
        <v>V300048940</v>
      </c>
      <c r="G31" s="1" t="str">
        <f t="shared" si="16"/>
        <v>_</v>
      </c>
      <c r="H31" s="1" t="str">
        <f t="shared" si="14"/>
        <v>L03</v>
      </c>
      <c r="I31" s="1" t="str">
        <f t="shared" si="17"/>
        <v>_</v>
      </c>
      <c r="J31" s="20">
        <v>37</v>
      </c>
      <c r="K31" s="1" t="str">
        <f t="shared" si="0"/>
        <v>V300048940_L03_37</v>
      </c>
      <c r="P31" s="17">
        <v>69</v>
      </c>
    </row>
    <row r="32" spans="1:16" x14ac:dyDescent="0.35">
      <c r="A32" t="s">
        <v>44</v>
      </c>
      <c r="B32">
        <v>88.58</v>
      </c>
      <c r="C32">
        <v>40.58</v>
      </c>
      <c r="D32" t="s">
        <v>68</v>
      </c>
      <c r="F32" s="1" t="str">
        <f t="shared" si="15"/>
        <v>V300048940</v>
      </c>
      <c r="G32" s="1" t="str">
        <f t="shared" si="16"/>
        <v>_</v>
      </c>
      <c r="H32" s="1" t="str">
        <f t="shared" si="14"/>
        <v>L03</v>
      </c>
      <c r="I32" s="1" t="str">
        <f t="shared" si="17"/>
        <v>_</v>
      </c>
      <c r="J32" s="20">
        <v>39</v>
      </c>
      <c r="K32" s="1" t="str">
        <f t="shared" si="0"/>
        <v>V300048940_L03_39</v>
      </c>
      <c r="P32" s="17">
        <v>70</v>
      </c>
    </row>
    <row r="33" spans="1:16" x14ac:dyDescent="0.35">
      <c r="A33" t="s">
        <v>45</v>
      </c>
      <c r="B33">
        <v>88.42</v>
      </c>
      <c r="C33">
        <v>41.79</v>
      </c>
      <c r="D33" t="s">
        <v>70</v>
      </c>
      <c r="F33" s="1" t="str">
        <f t="shared" si="15"/>
        <v>V300048940</v>
      </c>
      <c r="G33" s="1" t="str">
        <f t="shared" si="16"/>
        <v>_</v>
      </c>
      <c r="H33" s="1" t="str">
        <f t="shared" si="14"/>
        <v>L03</v>
      </c>
      <c r="I33" s="1" t="str">
        <f t="shared" si="17"/>
        <v>_</v>
      </c>
      <c r="J33" s="20">
        <v>51</v>
      </c>
      <c r="K33" s="1" t="str">
        <f>_xlfn.CONCAT(F33:J33)</f>
        <v>V300048940_L03_51</v>
      </c>
      <c r="P33" s="17">
        <v>72</v>
      </c>
    </row>
    <row r="34" spans="1:16" x14ac:dyDescent="0.35">
      <c r="A34" t="s">
        <v>46</v>
      </c>
      <c r="B34">
        <v>86.54</v>
      </c>
      <c r="C34">
        <v>40.22</v>
      </c>
      <c r="D34" t="s">
        <v>58</v>
      </c>
      <c r="F34" s="1" t="str">
        <f t="shared" si="15"/>
        <v>V300048940</v>
      </c>
      <c r="G34" s="1" t="str">
        <f t="shared" si="16"/>
        <v>_</v>
      </c>
      <c r="H34" s="1" t="str">
        <f t="shared" si="14"/>
        <v>L03</v>
      </c>
      <c r="I34" s="1" t="str">
        <f t="shared" si="17"/>
        <v>_</v>
      </c>
      <c r="J34" s="20">
        <v>116</v>
      </c>
      <c r="K34" s="1" t="str">
        <f>_xlfn.CONCAT(F34:J34)</f>
        <v>V300048940_L03_116</v>
      </c>
      <c r="P34" s="17">
        <v>73</v>
      </c>
    </row>
    <row r="35" spans="1:16" x14ac:dyDescent="0.35">
      <c r="A35" t="s">
        <v>47</v>
      </c>
      <c r="B35">
        <v>88.17</v>
      </c>
      <c r="C35">
        <v>0.04</v>
      </c>
      <c r="D35" t="s">
        <v>72</v>
      </c>
      <c r="F35" s="1" t="str">
        <f t="shared" si="15"/>
        <v>V300048940</v>
      </c>
      <c r="G35" s="1" t="str">
        <f t="shared" si="16"/>
        <v>_</v>
      </c>
      <c r="H35" s="1" t="str">
        <f t="shared" si="14"/>
        <v>L03</v>
      </c>
      <c r="I35" s="1" t="str">
        <f t="shared" si="17"/>
        <v>_</v>
      </c>
      <c r="J35" s="20">
        <v>56</v>
      </c>
      <c r="K35" s="1" t="str">
        <f>_xlfn.CONCAT(F35:J35)</f>
        <v>V300048940_L03_56</v>
      </c>
      <c r="P35" s="17">
        <v>74</v>
      </c>
    </row>
    <row r="36" spans="1:16" x14ac:dyDescent="0.35">
      <c r="A36" t="s">
        <v>48</v>
      </c>
      <c r="B36">
        <v>86.38</v>
      </c>
      <c r="C36">
        <v>0.01</v>
      </c>
      <c r="D36" t="s">
        <v>78</v>
      </c>
      <c r="F36" s="1" t="str">
        <f t="shared" si="15"/>
        <v>V300048940</v>
      </c>
      <c r="G36" s="1" t="str">
        <f t="shared" si="16"/>
        <v>_</v>
      </c>
      <c r="H36" s="4" t="s">
        <v>13</v>
      </c>
      <c r="I36" s="1" t="str">
        <f t="shared" si="17"/>
        <v>_</v>
      </c>
      <c r="J36" s="12">
        <v>28</v>
      </c>
      <c r="K36" s="1" t="str">
        <f>_xlfn.CONCAT(F36:J36)</f>
        <v>V300048940_L04_28</v>
      </c>
      <c r="P36" s="17">
        <v>75</v>
      </c>
    </row>
    <row r="37" spans="1:16" x14ac:dyDescent="0.35">
      <c r="A37" t="s">
        <v>49</v>
      </c>
      <c r="B37">
        <v>87.57</v>
      </c>
      <c r="C37">
        <v>0.09</v>
      </c>
      <c r="D37" t="s">
        <v>79</v>
      </c>
      <c r="F37" s="1" t="str">
        <f t="shared" si="15"/>
        <v>V300048940</v>
      </c>
      <c r="G37" s="1" t="str">
        <f t="shared" si="16"/>
        <v>_</v>
      </c>
      <c r="H37" s="4" t="s">
        <v>13</v>
      </c>
      <c r="I37" s="1" t="str">
        <f t="shared" si="17"/>
        <v>_</v>
      </c>
      <c r="J37" s="12">
        <v>29</v>
      </c>
      <c r="K37" s="1" t="str">
        <f>_xlfn.CONCAT(F37:J37)</f>
        <v>V300048940_L04_29</v>
      </c>
      <c r="P37" s="17">
        <v>76</v>
      </c>
    </row>
    <row r="38" spans="1:16" x14ac:dyDescent="0.35">
      <c r="A38" t="s">
        <v>50</v>
      </c>
      <c r="B38">
        <v>87.12</v>
      </c>
      <c r="C38">
        <v>0.02</v>
      </c>
      <c r="D38" t="s">
        <v>82</v>
      </c>
      <c r="F38" s="1" t="str">
        <f t="shared" si="15"/>
        <v>V300048940</v>
      </c>
      <c r="G38" s="1" t="str">
        <f t="shared" si="16"/>
        <v>_</v>
      </c>
      <c r="H38" s="4" t="str">
        <f t="shared" ref="H38:H47" si="18">H37</f>
        <v>L04</v>
      </c>
      <c r="I38" s="1" t="str">
        <f t="shared" si="17"/>
        <v>_</v>
      </c>
      <c r="J38" s="12">
        <v>33</v>
      </c>
      <c r="K38" s="1" t="str">
        <f>_xlfn.CONCAT(F38:J38)</f>
        <v>V300048940_L04_33</v>
      </c>
      <c r="P38" s="17">
        <v>77</v>
      </c>
    </row>
    <row r="39" spans="1:16" x14ac:dyDescent="0.35">
      <c r="A39" t="s">
        <v>51</v>
      </c>
      <c r="B39">
        <v>87.77</v>
      </c>
      <c r="C39">
        <v>0.01</v>
      </c>
      <c r="D39" t="s">
        <v>83</v>
      </c>
      <c r="F39" s="1" t="str">
        <f t="shared" si="15"/>
        <v>V300048940</v>
      </c>
      <c r="G39" s="1" t="str">
        <f t="shared" si="16"/>
        <v>_</v>
      </c>
      <c r="H39" s="4" t="str">
        <f t="shared" si="18"/>
        <v>L04</v>
      </c>
      <c r="I39" s="1" t="str">
        <f t="shared" si="17"/>
        <v>_</v>
      </c>
      <c r="J39" s="12">
        <v>34</v>
      </c>
      <c r="K39" s="1" t="str">
        <f>_xlfn.CONCAT(F39:J39)</f>
        <v>V300048940_L04_34</v>
      </c>
      <c r="P39" s="18">
        <v>78</v>
      </c>
    </row>
    <row r="40" spans="1:16" x14ac:dyDescent="0.35">
      <c r="A40" t="s">
        <v>52</v>
      </c>
      <c r="B40">
        <v>85.85</v>
      </c>
      <c r="C40">
        <v>0.02</v>
      </c>
      <c r="D40" t="s">
        <v>84</v>
      </c>
      <c r="F40" s="1" t="str">
        <f t="shared" si="15"/>
        <v>V300048940</v>
      </c>
      <c r="G40" s="1" t="str">
        <f t="shared" si="16"/>
        <v>_</v>
      </c>
      <c r="H40" s="4" t="str">
        <f t="shared" si="18"/>
        <v>L04</v>
      </c>
      <c r="I40" s="1" t="str">
        <f t="shared" si="17"/>
        <v>_</v>
      </c>
      <c r="J40" s="12">
        <v>35</v>
      </c>
      <c r="K40" s="1" t="str">
        <f>_xlfn.CONCAT(F40:J40)</f>
        <v>V300048940_L04_35</v>
      </c>
      <c r="P40" s="18">
        <v>79</v>
      </c>
    </row>
    <row r="41" spans="1:16" x14ac:dyDescent="0.35">
      <c r="A41" t="s">
        <v>53</v>
      </c>
      <c r="B41">
        <v>87.79</v>
      </c>
      <c r="C41">
        <v>7.0000000000000007E-2</v>
      </c>
      <c r="D41" t="s">
        <v>85</v>
      </c>
      <c r="F41" s="1" t="str">
        <f t="shared" si="15"/>
        <v>V300048940</v>
      </c>
      <c r="G41" s="1" t="str">
        <f t="shared" si="16"/>
        <v>_</v>
      </c>
      <c r="H41" s="4" t="str">
        <f t="shared" si="18"/>
        <v>L04</v>
      </c>
      <c r="I41" s="1" t="str">
        <f t="shared" si="17"/>
        <v>_</v>
      </c>
      <c r="J41" s="22">
        <v>36</v>
      </c>
      <c r="K41" s="1" t="str">
        <f>_xlfn.CONCAT(F41:J41)</f>
        <v>V300048940_L04_36</v>
      </c>
      <c r="P41" s="18">
        <v>80</v>
      </c>
    </row>
    <row r="42" spans="1:16" x14ac:dyDescent="0.35">
      <c r="A42" t="s">
        <v>54</v>
      </c>
      <c r="B42">
        <v>87.85</v>
      </c>
      <c r="C42">
        <v>0.01</v>
      </c>
      <c r="D42" t="s">
        <v>87</v>
      </c>
      <c r="F42" s="1" t="str">
        <f t="shared" si="15"/>
        <v>V300048940</v>
      </c>
      <c r="G42" s="1" t="str">
        <f t="shared" si="16"/>
        <v>_</v>
      </c>
      <c r="H42" s="4" t="str">
        <f t="shared" si="18"/>
        <v>L04</v>
      </c>
      <c r="I42" s="1" t="str">
        <f t="shared" si="17"/>
        <v>_</v>
      </c>
      <c r="J42" s="23">
        <v>38</v>
      </c>
      <c r="K42" s="1" t="str">
        <f>_xlfn.CONCAT(F42:J42)</f>
        <v>V300048940_L04_38</v>
      </c>
      <c r="P42" s="18">
        <v>81</v>
      </c>
    </row>
    <row r="43" spans="1:16" x14ac:dyDescent="0.35">
      <c r="A43" t="s">
        <v>55</v>
      </c>
      <c r="B43">
        <v>88</v>
      </c>
      <c r="C43">
        <v>0.11</v>
      </c>
      <c r="D43" t="s">
        <v>90</v>
      </c>
      <c r="F43" s="1" t="str">
        <f t="shared" si="15"/>
        <v>V300048940</v>
      </c>
      <c r="G43" s="1" t="str">
        <f t="shared" si="16"/>
        <v>_</v>
      </c>
      <c r="H43" s="4" t="str">
        <f t="shared" si="18"/>
        <v>L04</v>
      </c>
      <c r="I43" s="1" t="str">
        <f t="shared" si="17"/>
        <v>_</v>
      </c>
      <c r="J43" s="23">
        <v>49</v>
      </c>
      <c r="K43" s="1" t="str">
        <f>_xlfn.CONCAT(F43:J43)</f>
        <v>V300048940_L04_49</v>
      </c>
      <c r="P43" s="18">
        <v>82</v>
      </c>
    </row>
    <row r="44" spans="1:16" x14ac:dyDescent="0.35">
      <c r="A44" t="s">
        <v>56</v>
      </c>
      <c r="B44">
        <v>87.87</v>
      </c>
      <c r="C44">
        <v>45.2</v>
      </c>
      <c r="D44" t="s">
        <v>91</v>
      </c>
      <c r="F44" s="1" t="str">
        <f t="shared" si="15"/>
        <v>V300048940</v>
      </c>
      <c r="G44" s="1" t="str">
        <f t="shared" si="16"/>
        <v>_</v>
      </c>
      <c r="H44" s="4" t="str">
        <f t="shared" si="18"/>
        <v>L04</v>
      </c>
      <c r="I44" s="1" t="str">
        <f t="shared" si="17"/>
        <v>_</v>
      </c>
      <c r="J44" s="23">
        <v>50</v>
      </c>
      <c r="K44" s="1" t="str">
        <f>_xlfn.CONCAT(F44:J44)</f>
        <v>V300048940_L04_50</v>
      </c>
      <c r="P44" s="18">
        <v>83</v>
      </c>
    </row>
    <row r="45" spans="1:16" x14ac:dyDescent="0.35">
      <c r="A45" t="s">
        <v>57</v>
      </c>
      <c r="B45">
        <v>87.44</v>
      </c>
      <c r="C45">
        <v>0.01</v>
      </c>
      <c r="D45" t="s">
        <v>93</v>
      </c>
      <c r="F45" s="1" t="str">
        <f t="shared" si="15"/>
        <v>V300048940</v>
      </c>
      <c r="G45" s="1" t="str">
        <f t="shared" si="16"/>
        <v>_</v>
      </c>
      <c r="H45" s="4" t="str">
        <f t="shared" si="18"/>
        <v>L04</v>
      </c>
      <c r="I45" s="1" t="str">
        <f t="shared" si="17"/>
        <v>_</v>
      </c>
      <c r="J45" s="23">
        <v>53</v>
      </c>
      <c r="K45" s="1" t="str">
        <f>_xlfn.CONCAT(F45:J45)</f>
        <v>V300048940_L04_53</v>
      </c>
      <c r="P45" s="18">
        <v>84</v>
      </c>
    </row>
    <row r="46" spans="1:16" x14ac:dyDescent="0.35">
      <c r="A46" t="s">
        <v>58</v>
      </c>
      <c r="B46">
        <v>87.95</v>
      </c>
      <c r="C46">
        <v>42.81</v>
      </c>
      <c r="D46" t="s">
        <v>94</v>
      </c>
      <c r="F46" s="1" t="str">
        <f t="shared" si="15"/>
        <v>V300048940</v>
      </c>
      <c r="G46" s="1" t="str">
        <f t="shared" si="16"/>
        <v>_</v>
      </c>
      <c r="H46" s="4" t="str">
        <f t="shared" si="18"/>
        <v>L04</v>
      </c>
      <c r="I46" s="1" t="str">
        <f t="shared" si="17"/>
        <v>_</v>
      </c>
      <c r="J46" s="23">
        <v>55</v>
      </c>
      <c r="K46" s="1" t="str">
        <f>_xlfn.CONCAT(F46:J46)</f>
        <v>V300048940_L04_55</v>
      </c>
      <c r="P46" s="18">
        <v>85</v>
      </c>
    </row>
    <row r="47" spans="1:16" x14ac:dyDescent="0.35">
      <c r="A47" t="s">
        <v>59</v>
      </c>
      <c r="B47">
        <v>87.67</v>
      </c>
      <c r="C47">
        <v>42.5</v>
      </c>
      <c r="F47" s="1"/>
      <c r="G47" s="1"/>
      <c r="H47" s="4"/>
      <c r="I47" s="1"/>
      <c r="J47" s="21"/>
      <c r="K47" s="1"/>
      <c r="P47" s="18">
        <v>86</v>
      </c>
    </row>
    <row r="48" spans="1:16" x14ac:dyDescent="0.35">
      <c r="A48" t="s">
        <v>60</v>
      </c>
      <c r="B48">
        <v>87.4</v>
      </c>
      <c r="C48">
        <v>0.06</v>
      </c>
      <c r="F48" s="3"/>
      <c r="G48" s="1"/>
      <c r="H48" s="4"/>
      <c r="I48" s="7"/>
      <c r="J48" s="6"/>
      <c r="K48" s="1"/>
      <c r="P48" s="18">
        <v>87</v>
      </c>
    </row>
    <row r="49" spans="1:16" ht="15" thickBot="1" x14ac:dyDescent="0.4">
      <c r="A49" t="s">
        <v>61</v>
      </c>
      <c r="B49">
        <v>87.28</v>
      </c>
      <c r="C49">
        <v>43.23</v>
      </c>
      <c r="F49" s="3"/>
      <c r="G49" s="1"/>
      <c r="H49" s="4"/>
      <c r="I49" s="7"/>
      <c r="J49" s="8"/>
      <c r="K49" s="1"/>
      <c r="P49" s="18">
        <v>88</v>
      </c>
    </row>
    <row r="50" spans="1:16" x14ac:dyDescent="0.35">
      <c r="A50" t="s">
        <v>62</v>
      </c>
      <c r="B50">
        <v>87.85</v>
      </c>
      <c r="C50">
        <v>41.22</v>
      </c>
      <c r="F50" s="3"/>
      <c r="G50" s="1"/>
      <c r="H50" s="4"/>
      <c r="I50" s="7"/>
      <c r="J50" s="5"/>
      <c r="K50" s="1"/>
      <c r="P50" s="19">
        <v>89</v>
      </c>
    </row>
    <row r="51" spans="1:16" x14ac:dyDescent="0.35">
      <c r="A51" t="s">
        <v>63</v>
      </c>
      <c r="B51">
        <v>87.95</v>
      </c>
      <c r="C51">
        <v>0.02</v>
      </c>
      <c r="F51" s="3"/>
      <c r="G51" s="1"/>
      <c r="H51" s="4"/>
      <c r="I51" s="7"/>
      <c r="J51" s="6"/>
      <c r="K51" s="1"/>
      <c r="P51" s="19">
        <v>90</v>
      </c>
    </row>
    <row r="52" spans="1:16" x14ac:dyDescent="0.35">
      <c r="A52" t="s">
        <v>64</v>
      </c>
      <c r="B52">
        <v>87.19</v>
      </c>
      <c r="C52">
        <v>41.23</v>
      </c>
      <c r="F52" s="3"/>
      <c r="G52" s="1"/>
      <c r="H52" s="4"/>
      <c r="I52" s="7"/>
      <c r="J52" s="6"/>
      <c r="K52" s="1"/>
      <c r="P52" s="19">
        <v>91</v>
      </c>
    </row>
    <row r="53" spans="1:16" x14ac:dyDescent="0.35">
      <c r="A53" t="s">
        <v>65</v>
      </c>
      <c r="B53">
        <v>87.47</v>
      </c>
      <c r="C53">
        <v>35.92</v>
      </c>
      <c r="F53" s="3"/>
      <c r="G53" s="1"/>
      <c r="H53" s="4"/>
      <c r="I53" s="7"/>
      <c r="J53" s="6"/>
      <c r="K53" s="1"/>
      <c r="P53" s="19">
        <v>92</v>
      </c>
    </row>
    <row r="54" spans="1:16" x14ac:dyDescent="0.35">
      <c r="A54" t="s">
        <v>66</v>
      </c>
      <c r="B54">
        <v>86.44</v>
      </c>
      <c r="C54">
        <v>0.02</v>
      </c>
      <c r="F54" s="3"/>
      <c r="G54" s="1"/>
      <c r="H54" s="4"/>
      <c r="I54" s="7"/>
      <c r="J54" s="6"/>
      <c r="K54" s="1"/>
      <c r="P54" s="19">
        <v>93</v>
      </c>
    </row>
    <row r="55" spans="1:16" x14ac:dyDescent="0.35">
      <c r="A55" t="s">
        <v>67</v>
      </c>
      <c r="B55">
        <v>88.06</v>
      </c>
      <c r="C55">
        <v>39.03</v>
      </c>
      <c r="F55" s="3"/>
      <c r="G55" s="1"/>
      <c r="H55" s="4"/>
      <c r="I55" s="7"/>
      <c r="J55" s="6"/>
      <c r="K55" s="1"/>
      <c r="P55" s="19">
        <v>94</v>
      </c>
    </row>
    <row r="56" spans="1:16" x14ac:dyDescent="0.35">
      <c r="A56" t="s">
        <v>68</v>
      </c>
      <c r="B56">
        <v>88.59</v>
      </c>
      <c r="C56">
        <v>50.64</v>
      </c>
      <c r="F56" s="3"/>
      <c r="G56" s="1"/>
      <c r="H56" s="4"/>
      <c r="I56" s="7"/>
      <c r="J56" s="6"/>
      <c r="K56" s="1"/>
      <c r="P56" s="19">
        <v>95</v>
      </c>
    </row>
    <row r="57" spans="1:16" x14ac:dyDescent="0.35">
      <c r="A57" t="s">
        <v>69</v>
      </c>
      <c r="B57">
        <v>88.14</v>
      </c>
      <c r="C57">
        <v>0.01</v>
      </c>
      <c r="F57" s="3"/>
      <c r="G57" s="1"/>
      <c r="H57" s="4"/>
      <c r="I57" s="7"/>
      <c r="J57" s="6"/>
      <c r="K57" s="1"/>
      <c r="P57" s="19">
        <v>96</v>
      </c>
    </row>
    <row r="58" spans="1:16" x14ac:dyDescent="0.35">
      <c r="A58" t="s">
        <v>70</v>
      </c>
      <c r="B58">
        <v>88.71</v>
      </c>
      <c r="C58">
        <v>44.31</v>
      </c>
      <c r="F58" s="3"/>
      <c r="G58" s="1"/>
      <c r="H58" s="4"/>
      <c r="I58" s="7"/>
      <c r="J58" s="6"/>
      <c r="K58" s="1"/>
      <c r="P58" s="19">
        <v>97</v>
      </c>
    </row>
    <row r="59" spans="1:16" x14ac:dyDescent="0.35">
      <c r="A59" t="s">
        <v>71</v>
      </c>
      <c r="B59">
        <v>87.49</v>
      </c>
      <c r="C59">
        <v>0.02</v>
      </c>
      <c r="F59" s="3"/>
      <c r="G59" s="1"/>
      <c r="H59" s="4"/>
      <c r="I59" s="7"/>
      <c r="J59" s="6"/>
      <c r="K59" s="1"/>
      <c r="P59" s="19">
        <v>98</v>
      </c>
    </row>
    <row r="60" spans="1:16" x14ac:dyDescent="0.35">
      <c r="A60" t="s">
        <v>72</v>
      </c>
      <c r="B60">
        <v>87.75</v>
      </c>
      <c r="C60">
        <v>41.86</v>
      </c>
      <c r="F60" s="3"/>
      <c r="G60" s="1"/>
      <c r="H60" s="4"/>
      <c r="I60" s="7"/>
      <c r="J60" s="6"/>
      <c r="K60" s="1"/>
      <c r="P60" s="19">
        <v>99</v>
      </c>
    </row>
    <row r="61" spans="1:16" x14ac:dyDescent="0.35">
      <c r="A61" t="s">
        <v>73</v>
      </c>
      <c r="B61">
        <v>86.19</v>
      </c>
      <c r="C61">
        <v>0.01</v>
      </c>
      <c r="F61" s="3"/>
      <c r="G61" s="1"/>
      <c r="H61" s="4"/>
      <c r="I61" s="7"/>
      <c r="J61" s="6"/>
      <c r="K61" s="1"/>
      <c r="P61" s="11">
        <v>100</v>
      </c>
    </row>
    <row r="62" spans="1:16" x14ac:dyDescent="0.35">
      <c r="A62" t="s">
        <v>74</v>
      </c>
      <c r="B62">
        <v>87.28</v>
      </c>
      <c r="C62">
        <v>0.02</v>
      </c>
      <c r="F62" s="3"/>
      <c r="G62" s="1"/>
      <c r="H62" s="4"/>
      <c r="I62" s="7"/>
      <c r="J62" s="6"/>
      <c r="K62" s="1"/>
      <c r="P62" s="11">
        <v>101</v>
      </c>
    </row>
    <row r="63" spans="1:16" x14ac:dyDescent="0.35">
      <c r="A63" t="s">
        <v>75</v>
      </c>
      <c r="B63">
        <v>87.26</v>
      </c>
      <c r="C63">
        <v>0.04</v>
      </c>
      <c r="F63" s="3"/>
      <c r="G63" s="1"/>
      <c r="H63" s="4"/>
      <c r="I63" s="7"/>
      <c r="J63" s="6"/>
      <c r="K63" s="1"/>
      <c r="P63" s="11">
        <v>102</v>
      </c>
    </row>
    <row r="64" spans="1:16" x14ac:dyDescent="0.35">
      <c r="A64" t="s">
        <v>76</v>
      </c>
      <c r="B64">
        <v>88.77</v>
      </c>
      <c r="C64">
        <v>0.02</v>
      </c>
      <c r="F64" s="3"/>
      <c r="G64" s="1"/>
      <c r="H64" s="4"/>
      <c r="I64" s="7"/>
      <c r="J64" s="6"/>
      <c r="K64" s="1"/>
      <c r="P64" s="11">
        <v>104</v>
      </c>
    </row>
    <row r="65" spans="1:16" x14ac:dyDescent="0.35">
      <c r="A65" t="s">
        <v>77</v>
      </c>
      <c r="B65">
        <v>88.1</v>
      </c>
      <c r="C65">
        <v>0.01</v>
      </c>
      <c r="F65" s="3"/>
      <c r="G65" s="1"/>
      <c r="H65" s="4"/>
      <c r="I65" s="7"/>
      <c r="J65" s="6"/>
      <c r="K65" s="1"/>
      <c r="P65" s="11">
        <v>121</v>
      </c>
    </row>
    <row r="66" spans="1:16" x14ac:dyDescent="0.35">
      <c r="A66" t="s">
        <v>78</v>
      </c>
      <c r="B66">
        <v>88.77</v>
      </c>
      <c r="C66">
        <v>42.31</v>
      </c>
      <c r="F66" s="3"/>
      <c r="G66" s="1"/>
      <c r="H66" s="4"/>
      <c r="I66" s="7"/>
      <c r="J66" s="6"/>
      <c r="K66" s="1"/>
      <c r="P66" s="11">
        <v>122</v>
      </c>
    </row>
    <row r="67" spans="1:16" x14ac:dyDescent="0.35">
      <c r="A67" t="s">
        <v>79</v>
      </c>
      <c r="B67">
        <v>88.81</v>
      </c>
      <c r="C67">
        <v>44.3</v>
      </c>
      <c r="F67" s="3"/>
      <c r="G67" s="1"/>
      <c r="H67" s="4"/>
      <c r="I67" s="7"/>
      <c r="J67" s="6"/>
      <c r="K67" s="1"/>
      <c r="P67" s="11">
        <v>123</v>
      </c>
    </row>
    <row r="68" spans="1:16" x14ac:dyDescent="0.35">
      <c r="A68" t="s">
        <v>80</v>
      </c>
      <c r="B68">
        <v>87.01</v>
      </c>
      <c r="C68">
        <v>0.02</v>
      </c>
      <c r="F68" s="3"/>
      <c r="G68" s="1"/>
      <c r="H68" s="4"/>
      <c r="I68" s="7"/>
      <c r="J68" s="6"/>
      <c r="K68" s="1"/>
      <c r="P68" s="11">
        <v>124</v>
      </c>
    </row>
    <row r="69" spans="1:16" x14ac:dyDescent="0.35">
      <c r="A69" t="s">
        <v>81</v>
      </c>
      <c r="B69">
        <v>87.1</v>
      </c>
      <c r="C69">
        <v>0.01</v>
      </c>
      <c r="F69" s="3"/>
      <c r="G69" s="1"/>
      <c r="H69" s="4"/>
      <c r="I69" s="7"/>
      <c r="J69" s="6"/>
      <c r="K69" s="1"/>
      <c r="P69" s="11">
        <v>125</v>
      </c>
    </row>
    <row r="70" spans="1:16" x14ac:dyDescent="0.35">
      <c r="A70" t="s">
        <v>82</v>
      </c>
      <c r="B70">
        <v>86.82</v>
      </c>
      <c r="C70">
        <v>43.86</v>
      </c>
      <c r="F70" s="3"/>
      <c r="G70" s="1"/>
      <c r="H70" s="4"/>
      <c r="I70" s="7"/>
      <c r="J70" s="6"/>
      <c r="K70" s="1"/>
      <c r="P70" s="11">
        <v>126</v>
      </c>
    </row>
    <row r="71" spans="1:16" x14ac:dyDescent="0.35">
      <c r="A71" t="s">
        <v>83</v>
      </c>
      <c r="B71">
        <v>88.06</v>
      </c>
      <c r="C71">
        <v>39.28</v>
      </c>
      <c r="F71" s="3"/>
      <c r="G71" s="1"/>
      <c r="H71" s="4"/>
      <c r="I71" s="7"/>
      <c r="J71" s="6"/>
      <c r="K71" s="1"/>
      <c r="P71" s="11">
        <v>127</v>
      </c>
    </row>
    <row r="72" spans="1:16" x14ac:dyDescent="0.35">
      <c r="A72" t="s">
        <v>84</v>
      </c>
      <c r="B72">
        <v>89.04</v>
      </c>
      <c r="C72">
        <v>41.35</v>
      </c>
      <c r="F72" s="3"/>
      <c r="G72" s="1"/>
      <c r="H72" s="4"/>
      <c r="I72" s="7"/>
      <c r="J72" s="6"/>
      <c r="K72" s="1"/>
      <c r="P72" s="11">
        <v>128</v>
      </c>
    </row>
    <row r="73" spans="1:16" ht="15" thickBot="1" x14ac:dyDescent="0.4">
      <c r="A73" t="s">
        <v>85</v>
      </c>
      <c r="B73">
        <v>86.58</v>
      </c>
      <c r="C73">
        <v>42.02</v>
      </c>
      <c r="F73" s="3"/>
      <c r="G73" s="1"/>
      <c r="H73" s="4"/>
      <c r="I73" s="7"/>
      <c r="J73" s="8"/>
      <c r="K73" s="1"/>
      <c r="P73" s="20">
        <v>25</v>
      </c>
    </row>
    <row r="74" spans="1:16" x14ac:dyDescent="0.35">
      <c r="A74" t="s">
        <v>86</v>
      </c>
      <c r="B74">
        <v>88.23</v>
      </c>
      <c r="C74">
        <v>0.02</v>
      </c>
      <c r="F74" s="3"/>
      <c r="G74" s="1"/>
      <c r="H74" s="4"/>
      <c r="I74" s="7"/>
      <c r="J74" s="6"/>
      <c r="K74" s="1"/>
      <c r="P74" s="20">
        <v>26</v>
      </c>
    </row>
    <row r="75" spans="1:16" x14ac:dyDescent="0.35">
      <c r="A75" t="s">
        <v>87</v>
      </c>
      <c r="B75">
        <v>88.62</v>
      </c>
      <c r="C75">
        <v>51.82</v>
      </c>
      <c r="F75" s="3"/>
      <c r="G75" s="1"/>
      <c r="H75" s="4"/>
      <c r="I75" s="7"/>
      <c r="J75" s="6"/>
      <c r="K75" s="1"/>
      <c r="P75" s="20">
        <v>117</v>
      </c>
    </row>
    <row r="76" spans="1:16" x14ac:dyDescent="0.35">
      <c r="A76" t="s">
        <v>88</v>
      </c>
      <c r="B76">
        <v>88.56</v>
      </c>
      <c r="C76">
        <v>0.02</v>
      </c>
      <c r="F76" s="3"/>
      <c r="G76" s="1"/>
      <c r="H76" s="4"/>
      <c r="I76" s="7"/>
      <c r="J76" s="6"/>
      <c r="K76" s="1"/>
      <c r="P76" s="12">
        <v>28</v>
      </c>
    </row>
    <row r="77" spans="1:16" x14ac:dyDescent="0.35">
      <c r="A77" t="s">
        <v>89</v>
      </c>
      <c r="B77">
        <v>88.92</v>
      </c>
      <c r="C77">
        <v>0.06</v>
      </c>
      <c r="F77" s="3"/>
      <c r="G77" s="1"/>
      <c r="H77" s="4"/>
      <c r="I77" s="7"/>
      <c r="J77" s="6"/>
      <c r="K77" s="1"/>
      <c r="P77" s="12">
        <v>29</v>
      </c>
    </row>
    <row r="78" spans="1:16" x14ac:dyDescent="0.35">
      <c r="A78" t="s">
        <v>90</v>
      </c>
      <c r="B78">
        <v>88.04</v>
      </c>
      <c r="C78">
        <v>41.59</v>
      </c>
      <c r="F78" s="3"/>
      <c r="G78" s="1"/>
      <c r="H78" s="4"/>
      <c r="I78" s="7"/>
      <c r="J78" s="6"/>
      <c r="K78" s="1"/>
      <c r="P78" s="20">
        <v>30</v>
      </c>
    </row>
    <row r="79" spans="1:16" x14ac:dyDescent="0.35">
      <c r="A79" t="s">
        <v>91</v>
      </c>
      <c r="B79">
        <v>88.46</v>
      </c>
      <c r="C79">
        <v>41.76</v>
      </c>
      <c r="F79" s="3"/>
      <c r="G79" s="1"/>
      <c r="H79" s="4"/>
      <c r="I79" s="7"/>
      <c r="J79" s="6"/>
      <c r="K79" s="1"/>
      <c r="P79" s="20">
        <v>114</v>
      </c>
    </row>
    <row r="80" spans="1:16" x14ac:dyDescent="0.35">
      <c r="A80" t="s">
        <v>92</v>
      </c>
      <c r="B80">
        <v>87.67</v>
      </c>
      <c r="C80">
        <v>0.01</v>
      </c>
      <c r="F80" s="3"/>
      <c r="G80" s="1"/>
      <c r="H80" s="4"/>
      <c r="I80" s="7"/>
      <c r="J80" s="6"/>
      <c r="K80" s="1"/>
      <c r="P80" s="20">
        <v>32</v>
      </c>
    </row>
    <row r="81" spans="1:16" x14ac:dyDescent="0.35">
      <c r="A81" t="s">
        <v>93</v>
      </c>
      <c r="B81">
        <v>88.08</v>
      </c>
      <c r="C81">
        <v>42.53</v>
      </c>
      <c r="F81" s="3"/>
      <c r="G81" s="1"/>
      <c r="H81" s="4"/>
      <c r="I81" s="7"/>
      <c r="J81" s="6"/>
      <c r="K81" s="1"/>
      <c r="P81" s="12">
        <v>33</v>
      </c>
    </row>
    <row r="82" spans="1:16" x14ac:dyDescent="0.35">
      <c r="A82" t="s">
        <v>94</v>
      </c>
      <c r="B82">
        <v>89.03</v>
      </c>
      <c r="C82">
        <v>41.28</v>
      </c>
      <c r="F82" s="3"/>
      <c r="G82" s="1"/>
      <c r="H82" s="4"/>
      <c r="I82" s="7"/>
      <c r="J82" s="6"/>
      <c r="K82" s="1"/>
      <c r="P82" s="12">
        <v>34</v>
      </c>
    </row>
    <row r="83" spans="1:16" x14ac:dyDescent="0.35">
      <c r="A83" t="s">
        <v>95</v>
      </c>
      <c r="B83">
        <v>88.15</v>
      </c>
      <c r="C83">
        <v>0.01</v>
      </c>
      <c r="F83" s="3"/>
      <c r="G83" s="1"/>
      <c r="H83" s="4"/>
      <c r="I83" s="7"/>
      <c r="J83" s="6"/>
      <c r="K83" s="1"/>
      <c r="P83" s="12">
        <v>35</v>
      </c>
    </row>
    <row r="84" spans="1:16" x14ac:dyDescent="0.35">
      <c r="F84" s="3"/>
      <c r="G84" s="1"/>
      <c r="H84" s="4"/>
      <c r="I84" s="7"/>
      <c r="J84" s="6"/>
      <c r="K84" s="1"/>
      <c r="P84" s="12">
        <v>36</v>
      </c>
    </row>
    <row r="85" spans="1:16" x14ac:dyDescent="0.35">
      <c r="F85" s="3"/>
      <c r="G85" s="1"/>
      <c r="H85" s="4"/>
      <c r="I85" s="7"/>
      <c r="J85" s="6"/>
      <c r="K85" s="1"/>
      <c r="P85" s="20">
        <v>37</v>
      </c>
    </row>
    <row r="86" spans="1:16" x14ac:dyDescent="0.35">
      <c r="F86" s="3"/>
      <c r="G86" s="1"/>
      <c r="H86" s="4"/>
      <c r="I86" s="7"/>
      <c r="J86" s="6"/>
      <c r="K86" s="1"/>
      <c r="P86" s="12">
        <v>38</v>
      </c>
    </row>
    <row r="87" spans="1:16" x14ac:dyDescent="0.35">
      <c r="F87" s="3"/>
      <c r="G87" s="1"/>
      <c r="H87" s="4"/>
      <c r="I87" s="7"/>
      <c r="J87" s="6"/>
      <c r="K87" s="1"/>
      <c r="P87" s="20">
        <v>39</v>
      </c>
    </row>
    <row r="88" spans="1:16" x14ac:dyDescent="0.35">
      <c r="F88" s="3"/>
      <c r="G88" s="1"/>
      <c r="H88" s="4"/>
      <c r="I88" s="7"/>
      <c r="J88" s="6"/>
      <c r="K88" s="1"/>
      <c r="P88" s="12">
        <v>49</v>
      </c>
    </row>
    <row r="89" spans="1:16" x14ac:dyDescent="0.35">
      <c r="F89" s="3"/>
      <c r="G89" s="1"/>
      <c r="H89" s="4"/>
      <c r="I89" s="7"/>
      <c r="J89" s="6"/>
      <c r="K89" s="1"/>
      <c r="P89" s="12">
        <v>50</v>
      </c>
    </row>
    <row r="90" spans="1:16" x14ac:dyDescent="0.35">
      <c r="F90" s="3"/>
      <c r="G90" s="1"/>
      <c r="H90" s="4"/>
      <c r="I90" s="7"/>
      <c r="J90" s="6"/>
      <c r="K90" s="1"/>
      <c r="P90" s="20">
        <v>51</v>
      </c>
    </row>
    <row r="91" spans="1:16" x14ac:dyDescent="0.35">
      <c r="F91" s="3"/>
      <c r="G91" s="1"/>
      <c r="H91" s="4"/>
      <c r="I91" s="7"/>
      <c r="J91" s="6"/>
      <c r="K91" s="1"/>
      <c r="P91" s="12">
        <v>53</v>
      </c>
    </row>
    <row r="92" spans="1:16" x14ac:dyDescent="0.35">
      <c r="F92" s="3"/>
      <c r="G92" s="1"/>
      <c r="H92" s="4"/>
      <c r="I92" s="7"/>
      <c r="J92" s="6"/>
      <c r="K92" s="1"/>
      <c r="P92" s="20">
        <v>116</v>
      </c>
    </row>
    <row r="93" spans="1:16" x14ac:dyDescent="0.35">
      <c r="F93" s="3"/>
      <c r="G93" s="1"/>
      <c r="H93" s="4"/>
      <c r="I93" s="7"/>
      <c r="J93" s="6"/>
      <c r="K93" s="1"/>
      <c r="P93" s="12">
        <v>55</v>
      </c>
    </row>
    <row r="94" spans="1:16" x14ac:dyDescent="0.35">
      <c r="F94" s="3"/>
      <c r="G94" s="1"/>
      <c r="H94" s="4"/>
      <c r="I94" s="7"/>
      <c r="J94" s="6"/>
      <c r="K94" s="1"/>
      <c r="P94" s="20">
        <v>56</v>
      </c>
    </row>
    <row r="95" spans="1:16" x14ac:dyDescent="0.35">
      <c r="F95" s="3"/>
      <c r="G95" s="1"/>
      <c r="H95" s="4"/>
      <c r="I95" s="7"/>
      <c r="J95" s="6"/>
      <c r="K95" s="1"/>
    </row>
    <row r="96" spans="1:16" x14ac:dyDescent="0.35">
      <c r="F96" s="3"/>
      <c r="G96" s="1"/>
      <c r="H96" s="4"/>
      <c r="I96" s="7"/>
      <c r="J96" s="6"/>
      <c r="K96" s="1"/>
    </row>
    <row r="97" spans="6:11" ht="15" thickBot="1" x14ac:dyDescent="0.4">
      <c r="F97" s="3"/>
      <c r="G97" s="1"/>
      <c r="H97" s="4"/>
      <c r="I97" s="7"/>
      <c r="J97" s="8"/>
      <c r="K97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Test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Bodrenko</dc:creator>
  <cp:lastModifiedBy>Eugene Bodrenko</cp:lastModifiedBy>
  <dcterms:created xsi:type="dcterms:W3CDTF">2015-06-05T18:17:20Z</dcterms:created>
  <dcterms:modified xsi:type="dcterms:W3CDTF">2020-08-21T09:18:55Z</dcterms:modified>
</cp:coreProperties>
</file>